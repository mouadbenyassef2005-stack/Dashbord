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Übersicht" sheetId="1" state="visible" r:id="rId1"/>
    <sheet name="Termine" sheetId="2" state="visible" r:id="rId2"/>
    <sheet name="Einstellungen" sheetId="3" state="visible" r:id="rId3"/>
  </sheets>
  <definedNames/>
  <calcPr calcId="124519" fullCalcOnLoad="1"/>
</workbook>
</file>

<file path=xl/styles.xml><?xml version="1.0" encoding="utf-8"?>
<styleSheet xmlns="http://schemas.openxmlformats.org/spreadsheetml/2006/main">
  <numFmts count="5">
    <numFmt numFmtId="164" formatCode="#,##0 €;-#,##0 €;-"/>
    <numFmt numFmtId="165" formatCode="yyyy-mm-dd"/>
    <numFmt numFmtId="166" formatCode="DD.MM.YYYY"/>
    <numFmt numFmtId="167" formatCode="MMM YYYY"/>
    <numFmt numFmtId="168" formatCode="MMMM YYYY"/>
  </numFmts>
  <fonts count="7">
    <font>
      <name val="Calibri"/>
      <family val="2"/>
      <color theme="1"/>
      <sz val="11"/>
      <scheme val="minor"/>
    </font>
    <font>
      <name val="Arial"/>
      <b val="1"/>
      <sz val="14"/>
    </font>
    <font>
      <name val="Arial"/>
    </font>
    <font>
      <name val="Arial"/>
      <color rgb="000000FF"/>
    </font>
    <font>
      <name val="Arial"/>
      <i val="1"/>
    </font>
    <font>
      <name val="Arial"/>
      <b val="1"/>
      <color rgb="00FFFFFF"/>
    </font>
    <font>
      <name val="Arial"/>
      <b val="1"/>
    </font>
  </fonts>
  <fills count="5">
    <fill>
      <patternFill/>
    </fill>
    <fill>
      <patternFill patternType="gray125"/>
    </fill>
    <fill>
      <patternFill patternType="solid">
        <fgColor rgb="00FFFF99"/>
      </patternFill>
    </fill>
    <fill>
      <patternFill patternType="solid">
        <fgColor rgb="001F3864"/>
      </patternFill>
    </fill>
    <fill>
      <patternFill patternType="solid">
        <fgColor rgb="00D9E1F2"/>
      </patternFill>
    </fill>
  </fills>
  <borders count="3">
    <border>
      <left/>
      <right/>
      <top/>
      <bottom/>
      <diagonal/>
    </border>
    <border>
      <left style="thin">
        <color rgb="00BFBFBF"/>
      </left>
      <right style="thin">
        <color rgb="00BFBFBF"/>
      </right>
      <top style="thin">
        <color rgb="00BFBFBF"/>
      </top>
      <bottom style="thin">
        <color rgb="00BFBFBF"/>
      </bottom>
    </border>
    <border>
      <top style="medium"/>
      <bottom style="double"/>
    </border>
  </borders>
  <cellStyleXfs count="1">
    <xf numFmtId="0" fontId="0" fillId="0" borderId="0"/>
  </cellStyleXfs>
  <cellXfs count="16">
    <xf numFmtId="0" fontId="0" fillId="0" borderId="0" pivotButton="0" quotePrefix="0" xfId="0"/>
    <xf numFmtId="0" fontId="1" fillId="0" borderId="0" pivotButton="0" quotePrefix="0" xfId="0"/>
    <xf numFmtId="0" fontId="4" fillId="0" borderId="0" pivotButton="0" quotePrefix="0" xfId="0"/>
    <xf numFmtId="0" fontId="5" fillId="3" borderId="1" applyAlignment="1" pivotButton="0" quotePrefix="0" xfId="0">
      <alignment horizontal="center" vertical="center" wrapText="1"/>
    </xf>
    <xf numFmtId="168" fontId="2" fillId="0" borderId="1" pivotButton="0" quotePrefix="0" xfId="0"/>
    <xf numFmtId="0" fontId="2" fillId="0" borderId="1" pivotButton="0" quotePrefix="0" xfId="0"/>
    <xf numFmtId="164" fontId="2" fillId="0" borderId="1" pivotButton="0" quotePrefix="0" xfId="0"/>
    <xf numFmtId="0" fontId="6" fillId="4" borderId="2" pivotButton="0" quotePrefix="0" xfId="0"/>
    <xf numFmtId="164" fontId="6" fillId="4" borderId="2" pivotButton="0" quotePrefix="0" xfId="0"/>
    <xf numFmtId="0" fontId="2" fillId="0" borderId="0" pivotButton="0" quotePrefix="0" xfId="0"/>
    <xf numFmtId="164" fontId="2" fillId="0" borderId="0" pivotButton="0" quotePrefix="0" xfId="0"/>
    <xf numFmtId="166" fontId="3" fillId="0" borderId="1" pivotButton="0" quotePrefix="0" xfId="0"/>
    <xf numFmtId="0" fontId="3" fillId="0" borderId="1" pivotButton="0" quotePrefix="0" xfId="0"/>
    <xf numFmtId="167" fontId="2" fillId="0" borderId="1" pivotButton="0" quotePrefix="0" xfId="0"/>
    <xf numFmtId="164" fontId="3" fillId="2" borderId="1" pivotButton="0" quotePrefix="0" xfId="0"/>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20" customWidth="1" min="3" max="3"/>
    <col width="18" customWidth="1" min="4" max="4"/>
    <col width="18" customWidth="1" min="5" max="5"/>
  </cols>
  <sheetData>
    <row r="1">
      <c r="A1" s="1" t="inlineStr">
        <is>
          <t>Einnahmen aus selbstständiger Tätigkeit – Terminvermittlung (Cold Calls)</t>
        </is>
      </c>
    </row>
    <row r="2">
      <c r="A2" s="2" t="inlineStr">
        <is>
          <t>Zeitraum: August 2025 bis September 2026. Alle Werte werden automatisch aus dem Blatt „Termine“ berechnet (Brutto-Provisionen, ohne Abzüge).</t>
        </is>
      </c>
    </row>
    <row r="4" ht="32" customHeight="1">
      <c r="A4" s="3" t="inlineStr">
        <is>
          <t>Monat</t>
        </is>
      </c>
      <c r="B4" s="3" t="inlineStr">
        <is>
          <t>Termine gesamt</t>
        </is>
      </c>
      <c r="C4" s="3" t="inlineStr">
        <is>
          <t>Davon stattgefunden (Show)</t>
        </is>
      </c>
      <c r="D4" s="3" t="inlineStr">
        <is>
          <t>Einnahmen (€)</t>
        </is>
      </c>
      <c r="E4" s="3" t="inlineStr">
        <is>
          <t>Kumuliert (€)</t>
        </is>
      </c>
    </row>
    <row r="5">
      <c r="A5" s="4" t="n">
        <v>45870</v>
      </c>
      <c r="B5" s="5">
        <f>COUNTIFS(Termine!$E$5:$E$304,A5)</f>
        <v/>
      </c>
      <c r="C5" s="5">
        <f>COUNTIFS(Termine!$E$5:$E$304,A5,Termine!$D$5:$D$304,"Ja")</f>
        <v/>
      </c>
      <c r="D5" s="6">
        <f>SUMIFS(Termine!$H$5:$H$304,Termine!$E$5:$E$304,A5)</f>
        <v/>
      </c>
      <c r="E5" s="6">
        <f>SUM($D$5:D5)</f>
        <v/>
      </c>
    </row>
    <row r="6">
      <c r="A6" s="4" t="n">
        <v>45901</v>
      </c>
      <c r="B6" s="5">
        <f>COUNTIFS(Termine!$E$5:$E$304,A6)</f>
        <v/>
      </c>
      <c r="C6" s="5">
        <f>COUNTIFS(Termine!$E$5:$E$304,A6,Termine!$D$5:$D$304,"Ja")</f>
        <v/>
      </c>
      <c r="D6" s="6">
        <f>SUMIFS(Termine!$H$5:$H$304,Termine!$E$5:$E$304,A6)</f>
        <v/>
      </c>
      <c r="E6" s="6">
        <f>SUM($D$5:D6)</f>
        <v/>
      </c>
    </row>
    <row r="7">
      <c r="A7" s="4" t="n">
        <v>45931</v>
      </c>
      <c r="B7" s="5">
        <f>COUNTIFS(Termine!$E$5:$E$304,A7)</f>
        <v/>
      </c>
      <c r="C7" s="5">
        <f>COUNTIFS(Termine!$E$5:$E$304,A7,Termine!$D$5:$D$304,"Ja")</f>
        <v/>
      </c>
      <c r="D7" s="6">
        <f>SUMIFS(Termine!$H$5:$H$304,Termine!$E$5:$E$304,A7)</f>
        <v/>
      </c>
      <c r="E7" s="6">
        <f>SUM($D$5:D7)</f>
        <v/>
      </c>
    </row>
    <row r="8">
      <c r="A8" s="4" t="n">
        <v>45962</v>
      </c>
      <c r="B8" s="5">
        <f>COUNTIFS(Termine!$E$5:$E$304,A8)</f>
        <v/>
      </c>
      <c r="C8" s="5">
        <f>COUNTIFS(Termine!$E$5:$E$304,A8,Termine!$D$5:$D$304,"Ja")</f>
        <v/>
      </c>
      <c r="D8" s="6">
        <f>SUMIFS(Termine!$H$5:$H$304,Termine!$E$5:$E$304,A8)</f>
        <v/>
      </c>
      <c r="E8" s="6">
        <f>SUM($D$5:D8)</f>
        <v/>
      </c>
    </row>
    <row r="9">
      <c r="A9" s="4" t="n">
        <v>45992</v>
      </c>
      <c r="B9" s="5">
        <f>COUNTIFS(Termine!$E$5:$E$304,A9)</f>
        <v/>
      </c>
      <c r="C9" s="5">
        <f>COUNTIFS(Termine!$E$5:$E$304,A9,Termine!$D$5:$D$304,"Ja")</f>
        <v/>
      </c>
      <c r="D9" s="6">
        <f>SUMIFS(Termine!$H$5:$H$304,Termine!$E$5:$E$304,A9)</f>
        <v/>
      </c>
      <c r="E9" s="6">
        <f>SUM($D$5:D9)</f>
        <v/>
      </c>
    </row>
    <row r="10">
      <c r="A10" s="4" t="n">
        <v>46023</v>
      </c>
      <c r="B10" s="5">
        <f>COUNTIFS(Termine!$E$5:$E$304,A10)</f>
        <v/>
      </c>
      <c r="C10" s="5">
        <f>COUNTIFS(Termine!$E$5:$E$304,A10,Termine!$D$5:$D$304,"Ja")</f>
        <v/>
      </c>
      <c r="D10" s="6">
        <f>SUMIFS(Termine!$H$5:$H$304,Termine!$E$5:$E$304,A10)</f>
        <v/>
      </c>
      <c r="E10" s="6">
        <f>SUM($D$5:D10)</f>
        <v/>
      </c>
    </row>
    <row r="11">
      <c r="A11" s="4" t="n">
        <v>46054</v>
      </c>
      <c r="B11" s="5">
        <f>COUNTIFS(Termine!$E$5:$E$304,A11)</f>
        <v/>
      </c>
      <c r="C11" s="5">
        <f>COUNTIFS(Termine!$E$5:$E$304,A11,Termine!$D$5:$D$304,"Ja")</f>
        <v/>
      </c>
      <c r="D11" s="6">
        <f>SUMIFS(Termine!$H$5:$H$304,Termine!$E$5:$E$304,A11)</f>
        <v/>
      </c>
      <c r="E11" s="6">
        <f>SUM($D$5:D11)</f>
        <v/>
      </c>
    </row>
    <row r="12">
      <c r="A12" s="4" t="n">
        <v>46082</v>
      </c>
      <c r="B12" s="5">
        <f>COUNTIFS(Termine!$E$5:$E$304,A12)</f>
        <v/>
      </c>
      <c r="C12" s="5">
        <f>COUNTIFS(Termine!$E$5:$E$304,A12,Termine!$D$5:$D$304,"Ja")</f>
        <v/>
      </c>
      <c r="D12" s="6">
        <f>SUMIFS(Termine!$H$5:$H$304,Termine!$E$5:$E$304,A12)</f>
        <v/>
      </c>
      <c r="E12" s="6">
        <f>SUM($D$5:D12)</f>
        <v/>
      </c>
    </row>
    <row r="13">
      <c r="A13" s="4" t="n">
        <v>46113</v>
      </c>
      <c r="B13" s="5">
        <f>COUNTIFS(Termine!$E$5:$E$304,A13)</f>
        <v/>
      </c>
      <c r="C13" s="5">
        <f>COUNTIFS(Termine!$E$5:$E$304,A13,Termine!$D$5:$D$304,"Ja")</f>
        <v/>
      </c>
      <c r="D13" s="6">
        <f>SUMIFS(Termine!$H$5:$H$304,Termine!$E$5:$E$304,A13)</f>
        <v/>
      </c>
      <c r="E13" s="6">
        <f>SUM($D$5:D13)</f>
        <v/>
      </c>
    </row>
    <row r="14">
      <c r="A14" s="4" t="n">
        <v>46143</v>
      </c>
      <c r="B14" s="5">
        <f>COUNTIFS(Termine!$E$5:$E$304,A14)</f>
        <v/>
      </c>
      <c r="C14" s="5">
        <f>COUNTIFS(Termine!$E$5:$E$304,A14,Termine!$D$5:$D$304,"Ja")</f>
        <v/>
      </c>
      <c r="D14" s="6">
        <f>SUMIFS(Termine!$H$5:$H$304,Termine!$E$5:$E$304,A14)</f>
        <v/>
      </c>
      <c r="E14" s="6">
        <f>SUM($D$5:D14)</f>
        <v/>
      </c>
    </row>
    <row r="15">
      <c r="A15" s="4" t="n">
        <v>46174</v>
      </c>
      <c r="B15" s="5">
        <f>COUNTIFS(Termine!$E$5:$E$304,A15)</f>
        <v/>
      </c>
      <c r="C15" s="5">
        <f>COUNTIFS(Termine!$E$5:$E$304,A15,Termine!$D$5:$D$304,"Ja")</f>
        <v/>
      </c>
      <c r="D15" s="6">
        <f>SUMIFS(Termine!$H$5:$H$304,Termine!$E$5:$E$304,A15)</f>
        <v/>
      </c>
      <c r="E15" s="6">
        <f>SUM($D$5:D15)</f>
        <v/>
      </c>
    </row>
    <row r="16">
      <c r="A16" s="4" t="n">
        <v>46204</v>
      </c>
      <c r="B16" s="5">
        <f>COUNTIFS(Termine!$E$5:$E$304,A16)</f>
        <v/>
      </c>
      <c r="C16" s="5">
        <f>COUNTIFS(Termine!$E$5:$E$304,A16,Termine!$D$5:$D$304,"Ja")</f>
        <v/>
      </c>
      <c r="D16" s="6">
        <f>SUMIFS(Termine!$H$5:$H$304,Termine!$E$5:$E$304,A16)</f>
        <v/>
      </c>
      <c r="E16" s="6">
        <f>SUM($D$5:D16)</f>
        <v/>
      </c>
    </row>
    <row r="17">
      <c r="A17" s="4" t="n">
        <v>46235</v>
      </c>
      <c r="B17" s="5">
        <f>COUNTIFS(Termine!$E$5:$E$304,A17)</f>
        <v/>
      </c>
      <c r="C17" s="5">
        <f>COUNTIFS(Termine!$E$5:$E$304,A17,Termine!$D$5:$D$304,"Ja")</f>
        <v/>
      </c>
      <c r="D17" s="6">
        <f>SUMIFS(Termine!$H$5:$H$304,Termine!$E$5:$E$304,A17)</f>
        <v/>
      </c>
      <c r="E17" s="6">
        <f>SUM($D$5:D17)</f>
        <v/>
      </c>
    </row>
    <row r="18">
      <c r="A18" s="4" t="n">
        <v>46266</v>
      </c>
      <c r="B18" s="5">
        <f>COUNTIFS(Termine!$E$5:$E$304,A18)</f>
        <v/>
      </c>
      <c r="C18" s="5">
        <f>COUNTIFS(Termine!$E$5:$E$304,A18,Termine!$D$5:$D$304,"Ja")</f>
        <v/>
      </c>
      <c r="D18" s="6">
        <f>SUMIFS(Termine!$H$5:$H$304,Termine!$E$5:$E$304,A18)</f>
        <v/>
      </c>
      <c r="E18" s="6">
        <f>SUM($D$5:D18)</f>
        <v/>
      </c>
    </row>
    <row r="19">
      <c r="A19" s="7" t="inlineStr">
        <is>
          <t>Gesamt</t>
        </is>
      </c>
      <c r="B19" s="7">
        <f>SUM(B5:B18)</f>
        <v/>
      </c>
      <c r="C19" s="7">
        <f>SUM(C5:C18)</f>
        <v/>
      </c>
      <c r="D19" s="8">
        <f>SUM(D5:D18)</f>
        <v/>
      </c>
      <c r="E19" s="7" t="n"/>
    </row>
    <row r="21">
      <c r="A21" s="2" t="inlineStr">
        <is>
          <t>Hinweis: Termine mit einem Datum außerhalb August 2025 – September 2026 erscheinen nicht in der Monatsliste.</t>
        </is>
      </c>
    </row>
    <row r="22">
      <c r="A22" s="9" t="inlineStr">
        <is>
          <t>Kontrolle Summe Termine-Blatt (€):</t>
        </is>
      </c>
      <c r="D22" s="10">
        <f>SUM(Termine!H5:H304)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4"/>
  <sheetViews>
    <sheetView workbookViewId="0">
      <pane ySplit="4" topLeftCell="A5" activePane="bottomLeft" state="frozen"/>
      <selection pane="bottomLeft" activeCell="A1" sqref="A1"/>
    </sheetView>
  </sheetViews>
  <sheetFormatPr baseColWidth="8" defaultRowHeight="15"/>
  <cols>
    <col width="13" customWidth="1" min="1" max="1"/>
    <col width="32" customWidth="1" min="2" max="2"/>
    <col width="28" customWidth="1" min="3" max="3"/>
    <col width="14" customWidth="1" min="4" max="4"/>
    <col width="11" customWidth="1" min="5" max="5"/>
    <col width="14" customWidth="1" min="6" max="6"/>
    <col width="11" customWidth="1" min="7" max="7"/>
    <col width="14" customWidth="1" min="8" max="8"/>
  </cols>
  <sheetData>
    <row r="1">
      <c r="A1" s="1" t="inlineStr">
        <is>
          <t>Termine (eine Zeile pro Termin)</t>
        </is>
      </c>
    </row>
    <row r="2">
      <c r="A2" s="2" t="inlineStr">
        <is>
          <t>Bitte nur die blauen Spalten A–D ausfüllen. „Show“ = Ja, wenn der Termin tatsächlich stattgefunden hat. Zeile 5 ist ein Beispiel – bitte überschreiben.</t>
        </is>
      </c>
    </row>
    <row r="4" ht="32" customHeight="1">
      <c r="A4" s="3" t="inlineStr">
        <is>
          <t>Datum</t>
        </is>
      </c>
      <c r="B4" s="3" t="inlineStr">
        <is>
          <t>Kunde (Agentur / Unternehmen B)</t>
        </is>
      </c>
      <c r="C4" s="3" t="inlineStr">
        <is>
          <t>Termin mit (Unternehmen C)</t>
        </is>
      </c>
      <c r="D4" s="3" t="inlineStr">
        <is>
          <t>Show? (Ja/Nein)</t>
        </is>
      </c>
      <c r="E4" s="3" t="inlineStr">
        <is>
          <t>Monat</t>
        </is>
      </c>
      <c r="F4" s="3" t="inlineStr">
        <is>
          <t>Show-Nr. beim Kunden</t>
        </is>
      </c>
      <c r="G4" s="3" t="inlineStr">
        <is>
          <t>Satz (€)</t>
        </is>
      </c>
      <c r="H4" s="3" t="inlineStr">
        <is>
          <t>Provision (€)</t>
        </is>
      </c>
    </row>
    <row r="5">
      <c r="A5" s="11" t="n">
        <v>45881</v>
      </c>
      <c r="B5" s="12" t="inlineStr">
        <is>
          <t>Beispiel Kunde GmbH</t>
        </is>
      </c>
      <c r="C5" s="12" t="inlineStr">
        <is>
          <t>Beispiel Firma AG</t>
        </is>
      </c>
      <c r="D5" s="12" t="inlineStr">
        <is>
          <t>Ja</t>
        </is>
      </c>
      <c r="E5" s="13">
        <f>IF(A5="","",DATE(YEAR(A5),MONTH(A5),1))</f>
        <v/>
      </c>
      <c r="F5" s="5">
        <f>IF(AND(D5="Ja",B5&lt;&gt;""),COUNTIFS($B$5:B5,B5,$D$5:D5,"Ja"),"")</f>
        <v/>
      </c>
      <c r="G5" s="6">
        <f>IF(F5="","",IF(F5&lt;=Einstellungen!$B$5,Einstellungen!$B$3,Einstellungen!$B$4))</f>
        <v/>
      </c>
      <c r="H5" s="6">
        <f>IF(G5="",0,G5)</f>
        <v/>
      </c>
    </row>
    <row r="6">
      <c r="A6" s="11" t="n"/>
      <c r="B6" s="12" t="n"/>
      <c r="C6" s="12" t="n"/>
      <c r="D6" s="12" t="n"/>
      <c r="E6" s="13">
        <f>IF(A6="","",DATE(YEAR(A6),MONTH(A6),1))</f>
        <v/>
      </c>
      <c r="F6" s="5">
        <f>IF(AND(D6="Ja",B6&lt;&gt;""),COUNTIFS($B$5:B6,B6,$D$5:D6,"Ja"),"")</f>
        <v/>
      </c>
      <c r="G6" s="6">
        <f>IF(F6="","",IF(F6&lt;=Einstellungen!$B$5,Einstellungen!$B$3,Einstellungen!$B$4))</f>
        <v/>
      </c>
      <c r="H6" s="6">
        <f>IF(G6="",0,G6)</f>
        <v/>
      </c>
    </row>
    <row r="7">
      <c r="A7" s="11" t="n"/>
      <c r="B7" s="12" t="n"/>
      <c r="C7" s="12" t="n"/>
      <c r="D7" s="12" t="n"/>
      <c r="E7" s="13">
        <f>IF(A7="","",DATE(YEAR(A7),MONTH(A7),1))</f>
        <v/>
      </c>
      <c r="F7" s="5">
        <f>IF(AND(D7="Ja",B7&lt;&gt;""),COUNTIFS($B$5:B7,B7,$D$5:D7,"Ja"),"")</f>
        <v/>
      </c>
      <c r="G7" s="6">
        <f>IF(F7="","",IF(F7&lt;=Einstellungen!$B$5,Einstellungen!$B$3,Einstellungen!$B$4))</f>
        <v/>
      </c>
      <c r="H7" s="6">
        <f>IF(G7="",0,G7)</f>
        <v/>
      </c>
    </row>
    <row r="8">
      <c r="A8" s="11" t="n"/>
      <c r="B8" s="12" t="n"/>
      <c r="C8" s="12" t="n"/>
      <c r="D8" s="12" t="n"/>
      <c r="E8" s="13">
        <f>IF(A8="","",DATE(YEAR(A8),MONTH(A8),1))</f>
        <v/>
      </c>
      <c r="F8" s="5">
        <f>IF(AND(D8="Ja",B8&lt;&gt;""),COUNTIFS($B$5:B8,B8,$D$5:D8,"Ja"),"")</f>
        <v/>
      </c>
      <c r="G8" s="6">
        <f>IF(F8="","",IF(F8&lt;=Einstellungen!$B$5,Einstellungen!$B$3,Einstellungen!$B$4))</f>
        <v/>
      </c>
      <c r="H8" s="6">
        <f>IF(G8="",0,G8)</f>
        <v/>
      </c>
    </row>
    <row r="9">
      <c r="A9" s="11" t="n"/>
      <c r="B9" s="12" t="n"/>
      <c r="C9" s="12" t="n"/>
      <c r="D9" s="12" t="n"/>
      <c r="E9" s="13">
        <f>IF(A9="","",DATE(YEAR(A9),MONTH(A9),1))</f>
        <v/>
      </c>
      <c r="F9" s="5">
        <f>IF(AND(D9="Ja",B9&lt;&gt;""),COUNTIFS($B$5:B9,B9,$D$5:D9,"Ja"),"")</f>
        <v/>
      </c>
      <c r="G9" s="6">
        <f>IF(F9="","",IF(F9&lt;=Einstellungen!$B$5,Einstellungen!$B$3,Einstellungen!$B$4))</f>
        <v/>
      </c>
      <c r="H9" s="6">
        <f>IF(G9="",0,G9)</f>
        <v/>
      </c>
    </row>
    <row r="10">
      <c r="A10" s="11" t="n"/>
      <c r="B10" s="12" t="n"/>
      <c r="C10" s="12" t="n"/>
      <c r="D10" s="12" t="n"/>
      <c r="E10" s="13">
        <f>IF(A10="","",DATE(YEAR(A10),MONTH(A10),1))</f>
        <v/>
      </c>
      <c r="F10" s="5">
        <f>IF(AND(D10="Ja",B10&lt;&gt;""),COUNTIFS($B$5:B10,B10,$D$5:D10,"Ja"),"")</f>
        <v/>
      </c>
      <c r="G10" s="6">
        <f>IF(F10="","",IF(F10&lt;=Einstellungen!$B$5,Einstellungen!$B$3,Einstellungen!$B$4))</f>
        <v/>
      </c>
      <c r="H10" s="6">
        <f>IF(G10="",0,G10)</f>
        <v/>
      </c>
    </row>
    <row r="11">
      <c r="A11" s="11" t="n"/>
      <c r="B11" s="12" t="n"/>
      <c r="C11" s="12" t="n"/>
      <c r="D11" s="12" t="n"/>
      <c r="E11" s="13">
        <f>IF(A11="","",DATE(YEAR(A11),MONTH(A11),1))</f>
        <v/>
      </c>
      <c r="F11" s="5">
        <f>IF(AND(D11="Ja",B11&lt;&gt;""),COUNTIFS($B$5:B11,B11,$D$5:D11,"Ja"),"")</f>
        <v/>
      </c>
      <c r="G11" s="6">
        <f>IF(F11="","",IF(F11&lt;=Einstellungen!$B$5,Einstellungen!$B$3,Einstellungen!$B$4))</f>
        <v/>
      </c>
      <c r="H11" s="6">
        <f>IF(G11="",0,G11)</f>
        <v/>
      </c>
    </row>
    <row r="12">
      <c r="A12" s="11" t="n"/>
      <c r="B12" s="12" t="n"/>
      <c r="C12" s="12" t="n"/>
      <c r="D12" s="12" t="n"/>
      <c r="E12" s="13">
        <f>IF(A12="","",DATE(YEAR(A12),MONTH(A12),1))</f>
        <v/>
      </c>
      <c r="F12" s="5">
        <f>IF(AND(D12="Ja",B12&lt;&gt;""),COUNTIFS($B$5:B12,B12,$D$5:D12,"Ja"),"")</f>
        <v/>
      </c>
      <c r="G12" s="6">
        <f>IF(F12="","",IF(F12&lt;=Einstellungen!$B$5,Einstellungen!$B$3,Einstellungen!$B$4))</f>
        <v/>
      </c>
      <c r="H12" s="6">
        <f>IF(G12="",0,G12)</f>
        <v/>
      </c>
    </row>
    <row r="13">
      <c r="A13" s="11" t="n"/>
      <c r="B13" s="12" t="n"/>
      <c r="C13" s="12" t="n"/>
      <c r="D13" s="12" t="n"/>
      <c r="E13" s="13">
        <f>IF(A13="","",DATE(YEAR(A13),MONTH(A13),1))</f>
        <v/>
      </c>
      <c r="F13" s="5">
        <f>IF(AND(D13="Ja",B13&lt;&gt;""),COUNTIFS($B$5:B13,B13,$D$5:D13,"Ja"),"")</f>
        <v/>
      </c>
      <c r="G13" s="6">
        <f>IF(F13="","",IF(F13&lt;=Einstellungen!$B$5,Einstellungen!$B$3,Einstellungen!$B$4))</f>
        <v/>
      </c>
      <c r="H13" s="6">
        <f>IF(G13="",0,G13)</f>
        <v/>
      </c>
    </row>
    <row r="14">
      <c r="A14" s="11" t="n"/>
      <c r="B14" s="12" t="n"/>
      <c r="C14" s="12" t="n"/>
      <c r="D14" s="12" t="n"/>
      <c r="E14" s="13">
        <f>IF(A14="","",DATE(YEAR(A14),MONTH(A14),1))</f>
        <v/>
      </c>
      <c r="F14" s="5">
        <f>IF(AND(D14="Ja",B14&lt;&gt;""),COUNTIFS($B$5:B14,B14,$D$5:D14,"Ja"),"")</f>
        <v/>
      </c>
      <c r="G14" s="6">
        <f>IF(F14="","",IF(F14&lt;=Einstellungen!$B$5,Einstellungen!$B$3,Einstellungen!$B$4))</f>
        <v/>
      </c>
      <c r="H14" s="6">
        <f>IF(G14="",0,G14)</f>
        <v/>
      </c>
    </row>
    <row r="15">
      <c r="A15" s="11" t="n"/>
      <c r="B15" s="12" t="n"/>
      <c r="C15" s="12" t="n"/>
      <c r="D15" s="12" t="n"/>
      <c r="E15" s="13">
        <f>IF(A15="","",DATE(YEAR(A15),MONTH(A15),1))</f>
        <v/>
      </c>
      <c r="F15" s="5">
        <f>IF(AND(D15="Ja",B15&lt;&gt;""),COUNTIFS($B$5:B15,B15,$D$5:D15,"Ja"),"")</f>
        <v/>
      </c>
      <c r="G15" s="6">
        <f>IF(F15="","",IF(F15&lt;=Einstellungen!$B$5,Einstellungen!$B$3,Einstellungen!$B$4))</f>
        <v/>
      </c>
      <c r="H15" s="6">
        <f>IF(G15="",0,G15)</f>
        <v/>
      </c>
    </row>
    <row r="16">
      <c r="A16" s="11" t="n"/>
      <c r="B16" s="12" t="n"/>
      <c r="C16" s="12" t="n"/>
      <c r="D16" s="12" t="n"/>
      <c r="E16" s="13">
        <f>IF(A16="","",DATE(YEAR(A16),MONTH(A16),1))</f>
        <v/>
      </c>
      <c r="F16" s="5">
        <f>IF(AND(D16="Ja",B16&lt;&gt;""),COUNTIFS($B$5:B16,B16,$D$5:D16,"Ja"),"")</f>
        <v/>
      </c>
      <c r="G16" s="6">
        <f>IF(F16="","",IF(F16&lt;=Einstellungen!$B$5,Einstellungen!$B$3,Einstellungen!$B$4))</f>
        <v/>
      </c>
      <c r="H16" s="6">
        <f>IF(G16="",0,G16)</f>
        <v/>
      </c>
    </row>
    <row r="17">
      <c r="A17" s="11" t="n"/>
      <c r="B17" s="12" t="n"/>
      <c r="C17" s="12" t="n"/>
      <c r="D17" s="12" t="n"/>
      <c r="E17" s="13">
        <f>IF(A17="","",DATE(YEAR(A17),MONTH(A17),1))</f>
        <v/>
      </c>
      <c r="F17" s="5">
        <f>IF(AND(D17="Ja",B17&lt;&gt;""),COUNTIFS($B$5:B17,B17,$D$5:D17,"Ja"),"")</f>
        <v/>
      </c>
      <c r="G17" s="6">
        <f>IF(F17="","",IF(F17&lt;=Einstellungen!$B$5,Einstellungen!$B$3,Einstellungen!$B$4))</f>
        <v/>
      </c>
      <c r="H17" s="6">
        <f>IF(G17="",0,G17)</f>
        <v/>
      </c>
    </row>
    <row r="18">
      <c r="A18" s="11" t="n"/>
      <c r="B18" s="12" t="n"/>
      <c r="C18" s="12" t="n"/>
      <c r="D18" s="12" t="n"/>
      <c r="E18" s="13">
        <f>IF(A18="","",DATE(YEAR(A18),MONTH(A18),1))</f>
        <v/>
      </c>
      <c r="F18" s="5">
        <f>IF(AND(D18="Ja",B18&lt;&gt;""),COUNTIFS($B$5:B18,B18,$D$5:D18,"Ja"),"")</f>
        <v/>
      </c>
      <c r="G18" s="6">
        <f>IF(F18="","",IF(F18&lt;=Einstellungen!$B$5,Einstellungen!$B$3,Einstellungen!$B$4))</f>
        <v/>
      </c>
      <c r="H18" s="6">
        <f>IF(G18="",0,G18)</f>
        <v/>
      </c>
    </row>
    <row r="19">
      <c r="A19" s="11" t="n"/>
      <c r="B19" s="12" t="n"/>
      <c r="C19" s="12" t="n"/>
      <c r="D19" s="12" t="n"/>
      <c r="E19" s="13">
        <f>IF(A19="","",DATE(YEAR(A19),MONTH(A19),1))</f>
        <v/>
      </c>
      <c r="F19" s="5">
        <f>IF(AND(D19="Ja",B19&lt;&gt;""),COUNTIFS($B$5:B19,B19,$D$5:D19,"Ja"),"")</f>
        <v/>
      </c>
      <c r="G19" s="6">
        <f>IF(F19="","",IF(F19&lt;=Einstellungen!$B$5,Einstellungen!$B$3,Einstellungen!$B$4))</f>
        <v/>
      </c>
      <c r="H19" s="6">
        <f>IF(G19="",0,G19)</f>
        <v/>
      </c>
    </row>
    <row r="20">
      <c r="A20" s="11" t="n"/>
      <c r="B20" s="12" t="n"/>
      <c r="C20" s="12" t="n"/>
      <c r="D20" s="12" t="n"/>
      <c r="E20" s="13">
        <f>IF(A20="","",DATE(YEAR(A20),MONTH(A20),1))</f>
        <v/>
      </c>
      <c r="F20" s="5">
        <f>IF(AND(D20="Ja",B20&lt;&gt;""),COUNTIFS($B$5:B20,B20,$D$5:D20,"Ja"),"")</f>
        <v/>
      </c>
      <c r="G20" s="6">
        <f>IF(F20="","",IF(F20&lt;=Einstellungen!$B$5,Einstellungen!$B$3,Einstellungen!$B$4))</f>
        <v/>
      </c>
      <c r="H20" s="6">
        <f>IF(G20="",0,G20)</f>
        <v/>
      </c>
    </row>
    <row r="21">
      <c r="A21" s="11" t="n"/>
      <c r="B21" s="12" t="n"/>
      <c r="C21" s="12" t="n"/>
      <c r="D21" s="12" t="n"/>
      <c r="E21" s="13">
        <f>IF(A21="","",DATE(YEAR(A21),MONTH(A21),1))</f>
        <v/>
      </c>
      <c r="F21" s="5">
        <f>IF(AND(D21="Ja",B21&lt;&gt;""),COUNTIFS($B$5:B21,B21,$D$5:D21,"Ja"),"")</f>
        <v/>
      </c>
      <c r="G21" s="6">
        <f>IF(F21="","",IF(F21&lt;=Einstellungen!$B$5,Einstellungen!$B$3,Einstellungen!$B$4))</f>
        <v/>
      </c>
      <c r="H21" s="6">
        <f>IF(G21="",0,G21)</f>
        <v/>
      </c>
    </row>
    <row r="22">
      <c r="A22" s="11" t="n"/>
      <c r="B22" s="12" t="n"/>
      <c r="C22" s="12" t="n"/>
      <c r="D22" s="12" t="n"/>
      <c r="E22" s="13">
        <f>IF(A22="","",DATE(YEAR(A22),MONTH(A22),1))</f>
        <v/>
      </c>
      <c r="F22" s="5">
        <f>IF(AND(D22="Ja",B22&lt;&gt;""),COUNTIFS($B$5:B22,B22,$D$5:D22,"Ja"),"")</f>
        <v/>
      </c>
      <c r="G22" s="6">
        <f>IF(F22="","",IF(F22&lt;=Einstellungen!$B$5,Einstellungen!$B$3,Einstellungen!$B$4))</f>
        <v/>
      </c>
      <c r="H22" s="6">
        <f>IF(G22="",0,G22)</f>
        <v/>
      </c>
    </row>
    <row r="23">
      <c r="A23" s="11" t="n"/>
      <c r="B23" s="12" t="n"/>
      <c r="C23" s="12" t="n"/>
      <c r="D23" s="12" t="n"/>
      <c r="E23" s="13">
        <f>IF(A23="","",DATE(YEAR(A23),MONTH(A23),1))</f>
        <v/>
      </c>
      <c r="F23" s="5">
        <f>IF(AND(D23="Ja",B23&lt;&gt;""),COUNTIFS($B$5:B23,B23,$D$5:D23,"Ja"),"")</f>
        <v/>
      </c>
      <c r="G23" s="6">
        <f>IF(F23="","",IF(F23&lt;=Einstellungen!$B$5,Einstellungen!$B$3,Einstellungen!$B$4))</f>
        <v/>
      </c>
      <c r="H23" s="6">
        <f>IF(G23="",0,G23)</f>
        <v/>
      </c>
    </row>
    <row r="24">
      <c r="A24" s="11" t="n"/>
      <c r="B24" s="12" t="n"/>
      <c r="C24" s="12" t="n"/>
      <c r="D24" s="12" t="n"/>
      <c r="E24" s="13">
        <f>IF(A24="","",DATE(YEAR(A24),MONTH(A24),1))</f>
        <v/>
      </c>
      <c r="F24" s="5">
        <f>IF(AND(D24="Ja",B24&lt;&gt;""),COUNTIFS($B$5:B24,B24,$D$5:D24,"Ja"),"")</f>
        <v/>
      </c>
      <c r="G24" s="6">
        <f>IF(F24="","",IF(F24&lt;=Einstellungen!$B$5,Einstellungen!$B$3,Einstellungen!$B$4))</f>
        <v/>
      </c>
      <c r="H24" s="6">
        <f>IF(G24="",0,G24)</f>
        <v/>
      </c>
    </row>
    <row r="25">
      <c r="A25" s="11" t="n"/>
      <c r="B25" s="12" t="n"/>
      <c r="C25" s="12" t="n"/>
      <c r="D25" s="12" t="n"/>
      <c r="E25" s="13">
        <f>IF(A25="","",DATE(YEAR(A25),MONTH(A25),1))</f>
        <v/>
      </c>
      <c r="F25" s="5">
        <f>IF(AND(D25="Ja",B25&lt;&gt;""),COUNTIFS($B$5:B25,B25,$D$5:D25,"Ja"),"")</f>
        <v/>
      </c>
      <c r="G25" s="6">
        <f>IF(F25="","",IF(F25&lt;=Einstellungen!$B$5,Einstellungen!$B$3,Einstellungen!$B$4))</f>
        <v/>
      </c>
      <c r="H25" s="6">
        <f>IF(G25="",0,G25)</f>
        <v/>
      </c>
    </row>
    <row r="26">
      <c r="A26" s="11" t="n"/>
      <c r="B26" s="12" t="n"/>
      <c r="C26" s="12" t="n"/>
      <c r="D26" s="12" t="n"/>
      <c r="E26" s="13">
        <f>IF(A26="","",DATE(YEAR(A26),MONTH(A26),1))</f>
        <v/>
      </c>
      <c r="F26" s="5">
        <f>IF(AND(D26="Ja",B26&lt;&gt;""),COUNTIFS($B$5:B26,B26,$D$5:D26,"Ja"),"")</f>
        <v/>
      </c>
      <c r="G26" s="6">
        <f>IF(F26="","",IF(F26&lt;=Einstellungen!$B$5,Einstellungen!$B$3,Einstellungen!$B$4))</f>
        <v/>
      </c>
      <c r="H26" s="6">
        <f>IF(G26="",0,G26)</f>
        <v/>
      </c>
    </row>
    <row r="27">
      <c r="A27" s="11" t="n"/>
      <c r="B27" s="12" t="n"/>
      <c r="C27" s="12" t="n"/>
      <c r="D27" s="12" t="n"/>
      <c r="E27" s="13">
        <f>IF(A27="","",DATE(YEAR(A27),MONTH(A27),1))</f>
        <v/>
      </c>
      <c r="F27" s="5">
        <f>IF(AND(D27="Ja",B27&lt;&gt;""),COUNTIFS($B$5:B27,B27,$D$5:D27,"Ja"),"")</f>
        <v/>
      </c>
      <c r="G27" s="6">
        <f>IF(F27="","",IF(F27&lt;=Einstellungen!$B$5,Einstellungen!$B$3,Einstellungen!$B$4))</f>
        <v/>
      </c>
      <c r="H27" s="6">
        <f>IF(G27="",0,G27)</f>
        <v/>
      </c>
    </row>
    <row r="28">
      <c r="A28" s="11" t="n"/>
      <c r="B28" s="12" t="n"/>
      <c r="C28" s="12" t="n"/>
      <c r="D28" s="12" t="n"/>
      <c r="E28" s="13">
        <f>IF(A28="","",DATE(YEAR(A28),MONTH(A28),1))</f>
        <v/>
      </c>
      <c r="F28" s="5">
        <f>IF(AND(D28="Ja",B28&lt;&gt;""),COUNTIFS($B$5:B28,B28,$D$5:D28,"Ja"),"")</f>
        <v/>
      </c>
      <c r="G28" s="6">
        <f>IF(F28="","",IF(F28&lt;=Einstellungen!$B$5,Einstellungen!$B$3,Einstellungen!$B$4))</f>
        <v/>
      </c>
      <c r="H28" s="6">
        <f>IF(G28="",0,G28)</f>
        <v/>
      </c>
    </row>
    <row r="29">
      <c r="A29" s="11" t="n"/>
      <c r="B29" s="12" t="n"/>
      <c r="C29" s="12" t="n"/>
      <c r="D29" s="12" t="n"/>
      <c r="E29" s="13">
        <f>IF(A29="","",DATE(YEAR(A29),MONTH(A29),1))</f>
        <v/>
      </c>
      <c r="F29" s="5">
        <f>IF(AND(D29="Ja",B29&lt;&gt;""),COUNTIFS($B$5:B29,B29,$D$5:D29,"Ja"),"")</f>
        <v/>
      </c>
      <c r="G29" s="6">
        <f>IF(F29="","",IF(F29&lt;=Einstellungen!$B$5,Einstellungen!$B$3,Einstellungen!$B$4))</f>
        <v/>
      </c>
      <c r="H29" s="6">
        <f>IF(G29="",0,G29)</f>
        <v/>
      </c>
    </row>
    <row r="30">
      <c r="A30" s="11" t="n"/>
      <c r="B30" s="12" t="n"/>
      <c r="C30" s="12" t="n"/>
      <c r="D30" s="12" t="n"/>
      <c r="E30" s="13">
        <f>IF(A30="","",DATE(YEAR(A30),MONTH(A30),1))</f>
        <v/>
      </c>
      <c r="F30" s="5">
        <f>IF(AND(D30="Ja",B30&lt;&gt;""),COUNTIFS($B$5:B30,B30,$D$5:D30,"Ja"),"")</f>
        <v/>
      </c>
      <c r="G30" s="6">
        <f>IF(F30="","",IF(F30&lt;=Einstellungen!$B$5,Einstellungen!$B$3,Einstellungen!$B$4))</f>
        <v/>
      </c>
      <c r="H30" s="6">
        <f>IF(G30="",0,G30)</f>
        <v/>
      </c>
    </row>
    <row r="31">
      <c r="A31" s="11" t="n"/>
      <c r="B31" s="12" t="n"/>
      <c r="C31" s="12" t="n"/>
      <c r="D31" s="12" t="n"/>
      <c r="E31" s="13">
        <f>IF(A31="","",DATE(YEAR(A31),MONTH(A31),1))</f>
        <v/>
      </c>
      <c r="F31" s="5">
        <f>IF(AND(D31="Ja",B31&lt;&gt;""),COUNTIFS($B$5:B31,B31,$D$5:D31,"Ja"),"")</f>
        <v/>
      </c>
      <c r="G31" s="6">
        <f>IF(F31="","",IF(F31&lt;=Einstellungen!$B$5,Einstellungen!$B$3,Einstellungen!$B$4))</f>
        <v/>
      </c>
      <c r="H31" s="6">
        <f>IF(G31="",0,G31)</f>
        <v/>
      </c>
    </row>
    <row r="32">
      <c r="A32" s="11" t="n"/>
      <c r="B32" s="12" t="n"/>
      <c r="C32" s="12" t="n"/>
      <c r="D32" s="12" t="n"/>
      <c r="E32" s="13">
        <f>IF(A32="","",DATE(YEAR(A32),MONTH(A32),1))</f>
        <v/>
      </c>
      <c r="F32" s="5">
        <f>IF(AND(D32="Ja",B32&lt;&gt;""),COUNTIFS($B$5:B32,B32,$D$5:D32,"Ja"),"")</f>
        <v/>
      </c>
      <c r="G32" s="6">
        <f>IF(F32="","",IF(F32&lt;=Einstellungen!$B$5,Einstellungen!$B$3,Einstellungen!$B$4))</f>
        <v/>
      </c>
      <c r="H32" s="6">
        <f>IF(G32="",0,G32)</f>
        <v/>
      </c>
    </row>
    <row r="33">
      <c r="A33" s="11" t="n"/>
      <c r="B33" s="12" t="n"/>
      <c r="C33" s="12" t="n"/>
      <c r="D33" s="12" t="n"/>
      <c r="E33" s="13">
        <f>IF(A33="","",DATE(YEAR(A33),MONTH(A33),1))</f>
        <v/>
      </c>
      <c r="F33" s="5">
        <f>IF(AND(D33="Ja",B33&lt;&gt;""),COUNTIFS($B$5:B33,B33,$D$5:D33,"Ja"),"")</f>
        <v/>
      </c>
      <c r="G33" s="6">
        <f>IF(F33="","",IF(F33&lt;=Einstellungen!$B$5,Einstellungen!$B$3,Einstellungen!$B$4))</f>
        <v/>
      </c>
      <c r="H33" s="6">
        <f>IF(G33="",0,G33)</f>
        <v/>
      </c>
    </row>
    <row r="34">
      <c r="A34" s="11" t="n"/>
      <c r="B34" s="12" t="n"/>
      <c r="C34" s="12" t="n"/>
      <c r="D34" s="12" t="n"/>
      <c r="E34" s="13">
        <f>IF(A34="","",DATE(YEAR(A34),MONTH(A34),1))</f>
        <v/>
      </c>
      <c r="F34" s="5">
        <f>IF(AND(D34="Ja",B34&lt;&gt;""),COUNTIFS($B$5:B34,B34,$D$5:D34,"Ja"),"")</f>
        <v/>
      </c>
      <c r="G34" s="6">
        <f>IF(F34="","",IF(F34&lt;=Einstellungen!$B$5,Einstellungen!$B$3,Einstellungen!$B$4))</f>
        <v/>
      </c>
      <c r="H34" s="6">
        <f>IF(G34="",0,G34)</f>
        <v/>
      </c>
    </row>
    <row r="35">
      <c r="A35" s="11" t="n"/>
      <c r="B35" s="12" t="n"/>
      <c r="C35" s="12" t="n"/>
      <c r="D35" s="12" t="n"/>
      <c r="E35" s="13">
        <f>IF(A35="","",DATE(YEAR(A35),MONTH(A35),1))</f>
        <v/>
      </c>
      <c r="F35" s="5">
        <f>IF(AND(D35="Ja",B35&lt;&gt;""),COUNTIFS($B$5:B35,B35,$D$5:D35,"Ja"),"")</f>
        <v/>
      </c>
      <c r="G35" s="6">
        <f>IF(F35="","",IF(F35&lt;=Einstellungen!$B$5,Einstellungen!$B$3,Einstellungen!$B$4))</f>
        <v/>
      </c>
      <c r="H35" s="6">
        <f>IF(G35="",0,G35)</f>
        <v/>
      </c>
    </row>
    <row r="36">
      <c r="A36" s="11" t="n"/>
      <c r="B36" s="12" t="n"/>
      <c r="C36" s="12" t="n"/>
      <c r="D36" s="12" t="n"/>
      <c r="E36" s="13">
        <f>IF(A36="","",DATE(YEAR(A36),MONTH(A36),1))</f>
        <v/>
      </c>
      <c r="F36" s="5">
        <f>IF(AND(D36="Ja",B36&lt;&gt;""),COUNTIFS($B$5:B36,B36,$D$5:D36,"Ja"),"")</f>
        <v/>
      </c>
      <c r="G36" s="6">
        <f>IF(F36="","",IF(F36&lt;=Einstellungen!$B$5,Einstellungen!$B$3,Einstellungen!$B$4))</f>
        <v/>
      </c>
      <c r="H36" s="6">
        <f>IF(G36="",0,G36)</f>
        <v/>
      </c>
    </row>
    <row r="37">
      <c r="A37" s="11" t="n"/>
      <c r="B37" s="12" t="n"/>
      <c r="C37" s="12" t="n"/>
      <c r="D37" s="12" t="n"/>
      <c r="E37" s="13">
        <f>IF(A37="","",DATE(YEAR(A37),MONTH(A37),1))</f>
        <v/>
      </c>
      <c r="F37" s="5">
        <f>IF(AND(D37="Ja",B37&lt;&gt;""),COUNTIFS($B$5:B37,B37,$D$5:D37,"Ja"),"")</f>
        <v/>
      </c>
      <c r="G37" s="6">
        <f>IF(F37="","",IF(F37&lt;=Einstellungen!$B$5,Einstellungen!$B$3,Einstellungen!$B$4))</f>
        <v/>
      </c>
      <c r="H37" s="6">
        <f>IF(G37="",0,G37)</f>
        <v/>
      </c>
    </row>
    <row r="38">
      <c r="A38" s="11" t="n"/>
      <c r="B38" s="12" t="n"/>
      <c r="C38" s="12" t="n"/>
      <c r="D38" s="12" t="n"/>
      <c r="E38" s="13">
        <f>IF(A38="","",DATE(YEAR(A38),MONTH(A38),1))</f>
        <v/>
      </c>
      <c r="F38" s="5">
        <f>IF(AND(D38="Ja",B38&lt;&gt;""),COUNTIFS($B$5:B38,B38,$D$5:D38,"Ja"),"")</f>
        <v/>
      </c>
      <c r="G38" s="6">
        <f>IF(F38="","",IF(F38&lt;=Einstellungen!$B$5,Einstellungen!$B$3,Einstellungen!$B$4))</f>
        <v/>
      </c>
      <c r="H38" s="6">
        <f>IF(G38="",0,G38)</f>
        <v/>
      </c>
    </row>
    <row r="39">
      <c r="A39" s="11" t="n"/>
      <c r="B39" s="12" t="n"/>
      <c r="C39" s="12" t="n"/>
      <c r="D39" s="12" t="n"/>
      <c r="E39" s="13">
        <f>IF(A39="","",DATE(YEAR(A39),MONTH(A39),1))</f>
        <v/>
      </c>
      <c r="F39" s="5">
        <f>IF(AND(D39="Ja",B39&lt;&gt;""),COUNTIFS($B$5:B39,B39,$D$5:D39,"Ja"),"")</f>
        <v/>
      </c>
      <c r="G39" s="6">
        <f>IF(F39="","",IF(F39&lt;=Einstellungen!$B$5,Einstellungen!$B$3,Einstellungen!$B$4))</f>
        <v/>
      </c>
      <c r="H39" s="6">
        <f>IF(G39="",0,G39)</f>
        <v/>
      </c>
    </row>
    <row r="40">
      <c r="A40" s="11" t="n"/>
      <c r="B40" s="12" t="n"/>
      <c r="C40" s="12" t="n"/>
      <c r="D40" s="12" t="n"/>
      <c r="E40" s="13">
        <f>IF(A40="","",DATE(YEAR(A40),MONTH(A40),1))</f>
        <v/>
      </c>
      <c r="F40" s="5">
        <f>IF(AND(D40="Ja",B40&lt;&gt;""),COUNTIFS($B$5:B40,B40,$D$5:D40,"Ja"),"")</f>
        <v/>
      </c>
      <c r="G40" s="6">
        <f>IF(F40="","",IF(F40&lt;=Einstellungen!$B$5,Einstellungen!$B$3,Einstellungen!$B$4))</f>
        <v/>
      </c>
      <c r="H40" s="6">
        <f>IF(G40="",0,G40)</f>
        <v/>
      </c>
    </row>
    <row r="41">
      <c r="A41" s="11" t="n"/>
      <c r="B41" s="12" t="n"/>
      <c r="C41" s="12" t="n"/>
      <c r="D41" s="12" t="n"/>
      <c r="E41" s="13">
        <f>IF(A41="","",DATE(YEAR(A41),MONTH(A41),1))</f>
        <v/>
      </c>
      <c r="F41" s="5">
        <f>IF(AND(D41="Ja",B41&lt;&gt;""),COUNTIFS($B$5:B41,B41,$D$5:D41,"Ja"),"")</f>
        <v/>
      </c>
      <c r="G41" s="6">
        <f>IF(F41="","",IF(F41&lt;=Einstellungen!$B$5,Einstellungen!$B$3,Einstellungen!$B$4))</f>
        <v/>
      </c>
      <c r="H41" s="6">
        <f>IF(G41="",0,G41)</f>
        <v/>
      </c>
    </row>
    <row r="42">
      <c r="A42" s="11" t="n"/>
      <c r="B42" s="12" t="n"/>
      <c r="C42" s="12" t="n"/>
      <c r="D42" s="12" t="n"/>
      <c r="E42" s="13">
        <f>IF(A42="","",DATE(YEAR(A42),MONTH(A42),1))</f>
        <v/>
      </c>
      <c r="F42" s="5">
        <f>IF(AND(D42="Ja",B42&lt;&gt;""),COUNTIFS($B$5:B42,B42,$D$5:D42,"Ja"),"")</f>
        <v/>
      </c>
      <c r="G42" s="6">
        <f>IF(F42="","",IF(F42&lt;=Einstellungen!$B$5,Einstellungen!$B$3,Einstellungen!$B$4))</f>
        <v/>
      </c>
      <c r="H42" s="6">
        <f>IF(G42="",0,G42)</f>
        <v/>
      </c>
    </row>
    <row r="43">
      <c r="A43" s="11" t="n"/>
      <c r="B43" s="12" t="n"/>
      <c r="C43" s="12" t="n"/>
      <c r="D43" s="12" t="n"/>
      <c r="E43" s="13">
        <f>IF(A43="","",DATE(YEAR(A43),MONTH(A43),1))</f>
        <v/>
      </c>
      <c r="F43" s="5">
        <f>IF(AND(D43="Ja",B43&lt;&gt;""),COUNTIFS($B$5:B43,B43,$D$5:D43,"Ja"),"")</f>
        <v/>
      </c>
      <c r="G43" s="6">
        <f>IF(F43="","",IF(F43&lt;=Einstellungen!$B$5,Einstellungen!$B$3,Einstellungen!$B$4))</f>
        <v/>
      </c>
      <c r="H43" s="6">
        <f>IF(G43="",0,G43)</f>
        <v/>
      </c>
    </row>
    <row r="44">
      <c r="A44" s="11" t="n"/>
      <c r="B44" s="12" t="n"/>
      <c r="C44" s="12" t="n"/>
      <c r="D44" s="12" t="n"/>
      <c r="E44" s="13">
        <f>IF(A44="","",DATE(YEAR(A44),MONTH(A44),1))</f>
        <v/>
      </c>
      <c r="F44" s="5">
        <f>IF(AND(D44="Ja",B44&lt;&gt;""),COUNTIFS($B$5:B44,B44,$D$5:D44,"Ja"),"")</f>
        <v/>
      </c>
      <c r="G44" s="6">
        <f>IF(F44="","",IF(F44&lt;=Einstellungen!$B$5,Einstellungen!$B$3,Einstellungen!$B$4))</f>
        <v/>
      </c>
      <c r="H44" s="6">
        <f>IF(G44="",0,G44)</f>
        <v/>
      </c>
    </row>
    <row r="45">
      <c r="A45" s="11" t="n"/>
      <c r="B45" s="12" t="n"/>
      <c r="C45" s="12" t="n"/>
      <c r="D45" s="12" t="n"/>
      <c r="E45" s="13">
        <f>IF(A45="","",DATE(YEAR(A45),MONTH(A45),1))</f>
        <v/>
      </c>
      <c r="F45" s="5">
        <f>IF(AND(D45="Ja",B45&lt;&gt;""),COUNTIFS($B$5:B45,B45,$D$5:D45,"Ja"),"")</f>
        <v/>
      </c>
      <c r="G45" s="6">
        <f>IF(F45="","",IF(F45&lt;=Einstellungen!$B$5,Einstellungen!$B$3,Einstellungen!$B$4))</f>
        <v/>
      </c>
      <c r="H45" s="6">
        <f>IF(G45="",0,G45)</f>
        <v/>
      </c>
    </row>
    <row r="46">
      <c r="A46" s="11" t="n"/>
      <c r="B46" s="12" t="n"/>
      <c r="C46" s="12" t="n"/>
      <c r="D46" s="12" t="n"/>
      <c r="E46" s="13">
        <f>IF(A46="","",DATE(YEAR(A46),MONTH(A46),1))</f>
        <v/>
      </c>
      <c r="F46" s="5">
        <f>IF(AND(D46="Ja",B46&lt;&gt;""),COUNTIFS($B$5:B46,B46,$D$5:D46,"Ja"),"")</f>
        <v/>
      </c>
      <c r="G46" s="6">
        <f>IF(F46="","",IF(F46&lt;=Einstellungen!$B$5,Einstellungen!$B$3,Einstellungen!$B$4))</f>
        <v/>
      </c>
      <c r="H46" s="6">
        <f>IF(G46="",0,G46)</f>
        <v/>
      </c>
    </row>
    <row r="47">
      <c r="A47" s="11" t="n"/>
      <c r="B47" s="12" t="n"/>
      <c r="C47" s="12" t="n"/>
      <c r="D47" s="12" t="n"/>
      <c r="E47" s="13">
        <f>IF(A47="","",DATE(YEAR(A47),MONTH(A47),1))</f>
        <v/>
      </c>
      <c r="F47" s="5">
        <f>IF(AND(D47="Ja",B47&lt;&gt;""),COUNTIFS($B$5:B47,B47,$D$5:D47,"Ja"),"")</f>
        <v/>
      </c>
      <c r="G47" s="6">
        <f>IF(F47="","",IF(F47&lt;=Einstellungen!$B$5,Einstellungen!$B$3,Einstellungen!$B$4))</f>
        <v/>
      </c>
      <c r="H47" s="6">
        <f>IF(G47="",0,G47)</f>
        <v/>
      </c>
    </row>
    <row r="48">
      <c r="A48" s="11" t="n"/>
      <c r="B48" s="12" t="n"/>
      <c r="C48" s="12" t="n"/>
      <c r="D48" s="12" t="n"/>
      <c r="E48" s="13">
        <f>IF(A48="","",DATE(YEAR(A48),MONTH(A48),1))</f>
        <v/>
      </c>
      <c r="F48" s="5">
        <f>IF(AND(D48="Ja",B48&lt;&gt;""),COUNTIFS($B$5:B48,B48,$D$5:D48,"Ja"),"")</f>
        <v/>
      </c>
      <c r="G48" s="6">
        <f>IF(F48="","",IF(F48&lt;=Einstellungen!$B$5,Einstellungen!$B$3,Einstellungen!$B$4))</f>
        <v/>
      </c>
      <c r="H48" s="6">
        <f>IF(G48="",0,G48)</f>
        <v/>
      </c>
    </row>
    <row r="49">
      <c r="A49" s="11" t="n"/>
      <c r="B49" s="12" t="n"/>
      <c r="C49" s="12" t="n"/>
      <c r="D49" s="12" t="n"/>
      <c r="E49" s="13">
        <f>IF(A49="","",DATE(YEAR(A49),MONTH(A49),1))</f>
        <v/>
      </c>
      <c r="F49" s="5">
        <f>IF(AND(D49="Ja",B49&lt;&gt;""),COUNTIFS($B$5:B49,B49,$D$5:D49,"Ja"),"")</f>
        <v/>
      </c>
      <c r="G49" s="6">
        <f>IF(F49="","",IF(F49&lt;=Einstellungen!$B$5,Einstellungen!$B$3,Einstellungen!$B$4))</f>
        <v/>
      </c>
      <c r="H49" s="6">
        <f>IF(G49="",0,G49)</f>
        <v/>
      </c>
    </row>
    <row r="50">
      <c r="A50" s="11" t="n"/>
      <c r="B50" s="12" t="n"/>
      <c r="C50" s="12" t="n"/>
      <c r="D50" s="12" t="n"/>
      <c r="E50" s="13">
        <f>IF(A50="","",DATE(YEAR(A50),MONTH(A50),1))</f>
        <v/>
      </c>
      <c r="F50" s="5">
        <f>IF(AND(D50="Ja",B50&lt;&gt;""),COUNTIFS($B$5:B50,B50,$D$5:D50,"Ja"),"")</f>
        <v/>
      </c>
      <c r="G50" s="6">
        <f>IF(F50="","",IF(F50&lt;=Einstellungen!$B$5,Einstellungen!$B$3,Einstellungen!$B$4))</f>
        <v/>
      </c>
      <c r="H50" s="6">
        <f>IF(G50="",0,G50)</f>
        <v/>
      </c>
    </row>
    <row r="51">
      <c r="A51" s="11" t="n"/>
      <c r="B51" s="12" t="n"/>
      <c r="C51" s="12" t="n"/>
      <c r="D51" s="12" t="n"/>
      <c r="E51" s="13">
        <f>IF(A51="","",DATE(YEAR(A51),MONTH(A51),1))</f>
        <v/>
      </c>
      <c r="F51" s="5">
        <f>IF(AND(D51="Ja",B51&lt;&gt;""),COUNTIFS($B$5:B51,B51,$D$5:D51,"Ja"),"")</f>
        <v/>
      </c>
      <c r="G51" s="6">
        <f>IF(F51="","",IF(F51&lt;=Einstellungen!$B$5,Einstellungen!$B$3,Einstellungen!$B$4))</f>
        <v/>
      </c>
      <c r="H51" s="6">
        <f>IF(G51="",0,G51)</f>
        <v/>
      </c>
    </row>
    <row r="52">
      <c r="A52" s="11" t="n"/>
      <c r="B52" s="12" t="n"/>
      <c r="C52" s="12" t="n"/>
      <c r="D52" s="12" t="n"/>
      <c r="E52" s="13">
        <f>IF(A52="","",DATE(YEAR(A52),MONTH(A52),1))</f>
        <v/>
      </c>
      <c r="F52" s="5">
        <f>IF(AND(D52="Ja",B52&lt;&gt;""),COUNTIFS($B$5:B52,B52,$D$5:D52,"Ja"),"")</f>
        <v/>
      </c>
      <c r="G52" s="6">
        <f>IF(F52="","",IF(F52&lt;=Einstellungen!$B$5,Einstellungen!$B$3,Einstellungen!$B$4))</f>
        <v/>
      </c>
      <c r="H52" s="6">
        <f>IF(G52="",0,G52)</f>
        <v/>
      </c>
    </row>
    <row r="53">
      <c r="A53" s="11" t="n"/>
      <c r="B53" s="12" t="n"/>
      <c r="C53" s="12" t="n"/>
      <c r="D53" s="12" t="n"/>
      <c r="E53" s="13">
        <f>IF(A53="","",DATE(YEAR(A53),MONTH(A53),1))</f>
        <v/>
      </c>
      <c r="F53" s="5">
        <f>IF(AND(D53="Ja",B53&lt;&gt;""),COUNTIFS($B$5:B53,B53,$D$5:D53,"Ja"),"")</f>
        <v/>
      </c>
      <c r="G53" s="6">
        <f>IF(F53="","",IF(F53&lt;=Einstellungen!$B$5,Einstellungen!$B$3,Einstellungen!$B$4))</f>
        <v/>
      </c>
      <c r="H53" s="6">
        <f>IF(G53="",0,G53)</f>
        <v/>
      </c>
    </row>
    <row r="54">
      <c r="A54" s="11" t="n"/>
      <c r="B54" s="12" t="n"/>
      <c r="C54" s="12" t="n"/>
      <c r="D54" s="12" t="n"/>
      <c r="E54" s="13">
        <f>IF(A54="","",DATE(YEAR(A54),MONTH(A54),1))</f>
        <v/>
      </c>
      <c r="F54" s="5">
        <f>IF(AND(D54="Ja",B54&lt;&gt;""),COUNTIFS($B$5:B54,B54,$D$5:D54,"Ja"),"")</f>
        <v/>
      </c>
      <c r="G54" s="6">
        <f>IF(F54="","",IF(F54&lt;=Einstellungen!$B$5,Einstellungen!$B$3,Einstellungen!$B$4))</f>
        <v/>
      </c>
      <c r="H54" s="6">
        <f>IF(G54="",0,G54)</f>
        <v/>
      </c>
    </row>
    <row r="55">
      <c r="A55" s="11" t="n"/>
      <c r="B55" s="12" t="n"/>
      <c r="C55" s="12" t="n"/>
      <c r="D55" s="12" t="n"/>
      <c r="E55" s="13">
        <f>IF(A55="","",DATE(YEAR(A55),MONTH(A55),1))</f>
        <v/>
      </c>
      <c r="F55" s="5">
        <f>IF(AND(D55="Ja",B55&lt;&gt;""),COUNTIFS($B$5:B55,B55,$D$5:D55,"Ja"),"")</f>
        <v/>
      </c>
      <c r="G55" s="6">
        <f>IF(F55="","",IF(F55&lt;=Einstellungen!$B$5,Einstellungen!$B$3,Einstellungen!$B$4))</f>
        <v/>
      </c>
      <c r="H55" s="6">
        <f>IF(G55="",0,G55)</f>
        <v/>
      </c>
    </row>
    <row r="56">
      <c r="A56" s="11" t="n"/>
      <c r="B56" s="12" t="n"/>
      <c r="C56" s="12" t="n"/>
      <c r="D56" s="12" t="n"/>
      <c r="E56" s="13">
        <f>IF(A56="","",DATE(YEAR(A56),MONTH(A56),1))</f>
        <v/>
      </c>
      <c r="F56" s="5">
        <f>IF(AND(D56="Ja",B56&lt;&gt;""),COUNTIFS($B$5:B56,B56,$D$5:D56,"Ja"),"")</f>
        <v/>
      </c>
      <c r="G56" s="6">
        <f>IF(F56="","",IF(F56&lt;=Einstellungen!$B$5,Einstellungen!$B$3,Einstellungen!$B$4))</f>
        <v/>
      </c>
      <c r="H56" s="6">
        <f>IF(G56="",0,G56)</f>
        <v/>
      </c>
    </row>
    <row r="57">
      <c r="A57" s="11" t="n"/>
      <c r="B57" s="12" t="n"/>
      <c r="C57" s="12" t="n"/>
      <c r="D57" s="12" t="n"/>
      <c r="E57" s="13">
        <f>IF(A57="","",DATE(YEAR(A57),MONTH(A57),1))</f>
        <v/>
      </c>
      <c r="F57" s="5">
        <f>IF(AND(D57="Ja",B57&lt;&gt;""),COUNTIFS($B$5:B57,B57,$D$5:D57,"Ja"),"")</f>
        <v/>
      </c>
      <c r="G57" s="6">
        <f>IF(F57="","",IF(F57&lt;=Einstellungen!$B$5,Einstellungen!$B$3,Einstellungen!$B$4))</f>
        <v/>
      </c>
      <c r="H57" s="6">
        <f>IF(G57="",0,G57)</f>
        <v/>
      </c>
    </row>
    <row r="58">
      <c r="A58" s="11" t="n"/>
      <c r="B58" s="12" t="n"/>
      <c r="C58" s="12" t="n"/>
      <c r="D58" s="12" t="n"/>
      <c r="E58" s="13">
        <f>IF(A58="","",DATE(YEAR(A58),MONTH(A58),1))</f>
        <v/>
      </c>
      <c r="F58" s="5">
        <f>IF(AND(D58="Ja",B58&lt;&gt;""),COUNTIFS($B$5:B58,B58,$D$5:D58,"Ja"),"")</f>
        <v/>
      </c>
      <c r="G58" s="6">
        <f>IF(F58="","",IF(F58&lt;=Einstellungen!$B$5,Einstellungen!$B$3,Einstellungen!$B$4))</f>
        <v/>
      </c>
      <c r="H58" s="6">
        <f>IF(G58="",0,G58)</f>
        <v/>
      </c>
    </row>
    <row r="59">
      <c r="A59" s="11" t="n"/>
      <c r="B59" s="12" t="n"/>
      <c r="C59" s="12" t="n"/>
      <c r="D59" s="12" t="n"/>
      <c r="E59" s="13">
        <f>IF(A59="","",DATE(YEAR(A59),MONTH(A59),1))</f>
        <v/>
      </c>
      <c r="F59" s="5">
        <f>IF(AND(D59="Ja",B59&lt;&gt;""),COUNTIFS($B$5:B59,B59,$D$5:D59,"Ja"),"")</f>
        <v/>
      </c>
      <c r="G59" s="6">
        <f>IF(F59="","",IF(F59&lt;=Einstellungen!$B$5,Einstellungen!$B$3,Einstellungen!$B$4))</f>
        <v/>
      </c>
      <c r="H59" s="6">
        <f>IF(G59="",0,G59)</f>
        <v/>
      </c>
    </row>
    <row r="60">
      <c r="A60" s="11" t="n"/>
      <c r="B60" s="12" t="n"/>
      <c r="C60" s="12" t="n"/>
      <c r="D60" s="12" t="n"/>
      <c r="E60" s="13">
        <f>IF(A60="","",DATE(YEAR(A60),MONTH(A60),1))</f>
        <v/>
      </c>
      <c r="F60" s="5">
        <f>IF(AND(D60="Ja",B60&lt;&gt;""),COUNTIFS($B$5:B60,B60,$D$5:D60,"Ja"),"")</f>
        <v/>
      </c>
      <c r="G60" s="6">
        <f>IF(F60="","",IF(F60&lt;=Einstellungen!$B$5,Einstellungen!$B$3,Einstellungen!$B$4))</f>
        <v/>
      </c>
      <c r="H60" s="6">
        <f>IF(G60="",0,G60)</f>
        <v/>
      </c>
    </row>
    <row r="61">
      <c r="A61" s="11" t="n"/>
      <c r="B61" s="12" t="n"/>
      <c r="C61" s="12" t="n"/>
      <c r="D61" s="12" t="n"/>
      <c r="E61" s="13">
        <f>IF(A61="","",DATE(YEAR(A61),MONTH(A61),1))</f>
        <v/>
      </c>
      <c r="F61" s="5">
        <f>IF(AND(D61="Ja",B61&lt;&gt;""),COUNTIFS($B$5:B61,B61,$D$5:D61,"Ja"),"")</f>
        <v/>
      </c>
      <c r="G61" s="6">
        <f>IF(F61="","",IF(F61&lt;=Einstellungen!$B$5,Einstellungen!$B$3,Einstellungen!$B$4))</f>
        <v/>
      </c>
      <c r="H61" s="6">
        <f>IF(G61="",0,G61)</f>
        <v/>
      </c>
    </row>
    <row r="62">
      <c r="A62" s="11" t="n"/>
      <c r="B62" s="12" t="n"/>
      <c r="C62" s="12" t="n"/>
      <c r="D62" s="12" t="n"/>
      <c r="E62" s="13">
        <f>IF(A62="","",DATE(YEAR(A62),MONTH(A62),1))</f>
        <v/>
      </c>
      <c r="F62" s="5">
        <f>IF(AND(D62="Ja",B62&lt;&gt;""),COUNTIFS($B$5:B62,B62,$D$5:D62,"Ja"),"")</f>
        <v/>
      </c>
      <c r="G62" s="6">
        <f>IF(F62="","",IF(F62&lt;=Einstellungen!$B$5,Einstellungen!$B$3,Einstellungen!$B$4))</f>
        <v/>
      </c>
      <c r="H62" s="6">
        <f>IF(G62="",0,G62)</f>
        <v/>
      </c>
    </row>
    <row r="63">
      <c r="A63" s="11" t="n"/>
      <c r="B63" s="12" t="n"/>
      <c r="C63" s="12" t="n"/>
      <c r="D63" s="12" t="n"/>
      <c r="E63" s="13">
        <f>IF(A63="","",DATE(YEAR(A63),MONTH(A63),1))</f>
        <v/>
      </c>
      <c r="F63" s="5">
        <f>IF(AND(D63="Ja",B63&lt;&gt;""),COUNTIFS($B$5:B63,B63,$D$5:D63,"Ja"),"")</f>
        <v/>
      </c>
      <c r="G63" s="6">
        <f>IF(F63="","",IF(F63&lt;=Einstellungen!$B$5,Einstellungen!$B$3,Einstellungen!$B$4))</f>
        <v/>
      </c>
      <c r="H63" s="6">
        <f>IF(G63="",0,G63)</f>
        <v/>
      </c>
    </row>
    <row r="64">
      <c r="A64" s="11" t="n"/>
      <c r="B64" s="12" t="n"/>
      <c r="C64" s="12" t="n"/>
      <c r="D64" s="12" t="n"/>
      <c r="E64" s="13">
        <f>IF(A64="","",DATE(YEAR(A64),MONTH(A64),1))</f>
        <v/>
      </c>
      <c r="F64" s="5">
        <f>IF(AND(D64="Ja",B64&lt;&gt;""),COUNTIFS($B$5:B64,B64,$D$5:D64,"Ja"),"")</f>
        <v/>
      </c>
      <c r="G64" s="6">
        <f>IF(F64="","",IF(F64&lt;=Einstellungen!$B$5,Einstellungen!$B$3,Einstellungen!$B$4))</f>
        <v/>
      </c>
      <c r="H64" s="6">
        <f>IF(G64="",0,G64)</f>
        <v/>
      </c>
    </row>
    <row r="65">
      <c r="A65" s="11" t="n"/>
      <c r="B65" s="12" t="n"/>
      <c r="C65" s="12" t="n"/>
      <c r="D65" s="12" t="n"/>
      <c r="E65" s="13">
        <f>IF(A65="","",DATE(YEAR(A65),MONTH(A65),1))</f>
        <v/>
      </c>
      <c r="F65" s="5">
        <f>IF(AND(D65="Ja",B65&lt;&gt;""),COUNTIFS($B$5:B65,B65,$D$5:D65,"Ja"),"")</f>
        <v/>
      </c>
      <c r="G65" s="6">
        <f>IF(F65="","",IF(F65&lt;=Einstellungen!$B$5,Einstellungen!$B$3,Einstellungen!$B$4))</f>
        <v/>
      </c>
      <c r="H65" s="6">
        <f>IF(G65="",0,G65)</f>
        <v/>
      </c>
    </row>
    <row r="66">
      <c r="A66" s="11" t="n"/>
      <c r="B66" s="12" t="n"/>
      <c r="C66" s="12" t="n"/>
      <c r="D66" s="12" t="n"/>
      <c r="E66" s="13">
        <f>IF(A66="","",DATE(YEAR(A66),MONTH(A66),1))</f>
        <v/>
      </c>
      <c r="F66" s="5">
        <f>IF(AND(D66="Ja",B66&lt;&gt;""),COUNTIFS($B$5:B66,B66,$D$5:D66,"Ja"),"")</f>
        <v/>
      </c>
      <c r="G66" s="6">
        <f>IF(F66="","",IF(F66&lt;=Einstellungen!$B$5,Einstellungen!$B$3,Einstellungen!$B$4))</f>
        <v/>
      </c>
      <c r="H66" s="6">
        <f>IF(G66="",0,G66)</f>
        <v/>
      </c>
    </row>
    <row r="67">
      <c r="A67" s="11" t="n"/>
      <c r="B67" s="12" t="n"/>
      <c r="C67" s="12" t="n"/>
      <c r="D67" s="12" t="n"/>
      <c r="E67" s="13">
        <f>IF(A67="","",DATE(YEAR(A67),MONTH(A67),1))</f>
        <v/>
      </c>
      <c r="F67" s="5">
        <f>IF(AND(D67="Ja",B67&lt;&gt;""),COUNTIFS($B$5:B67,B67,$D$5:D67,"Ja"),"")</f>
        <v/>
      </c>
      <c r="G67" s="6">
        <f>IF(F67="","",IF(F67&lt;=Einstellungen!$B$5,Einstellungen!$B$3,Einstellungen!$B$4))</f>
        <v/>
      </c>
      <c r="H67" s="6">
        <f>IF(G67="",0,G67)</f>
        <v/>
      </c>
    </row>
    <row r="68">
      <c r="A68" s="11" t="n"/>
      <c r="B68" s="12" t="n"/>
      <c r="C68" s="12" t="n"/>
      <c r="D68" s="12" t="n"/>
      <c r="E68" s="13">
        <f>IF(A68="","",DATE(YEAR(A68),MONTH(A68),1))</f>
        <v/>
      </c>
      <c r="F68" s="5">
        <f>IF(AND(D68="Ja",B68&lt;&gt;""),COUNTIFS($B$5:B68,B68,$D$5:D68,"Ja"),"")</f>
        <v/>
      </c>
      <c r="G68" s="6">
        <f>IF(F68="","",IF(F68&lt;=Einstellungen!$B$5,Einstellungen!$B$3,Einstellungen!$B$4))</f>
        <v/>
      </c>
      <c r="H68" s="6">
        <f>IF(G68="",0,G68)</f>
        <v/>
      </c>
    </row>
    <row r="69">
      <c r="A69" s="11" t="n"/>
      <c r="B69" s="12" t="n"/>
      <c r="C69" s="12" t="n"/>
      <c r="D69" s="12" t="n"/>
      <c r="E69" s="13">
        <f>IF(A69="","",DATE(YEAR(A69),MONTH(A69),1))</f>
        <v/>
      </c>
      <c r="F69" s="5">
        <f>IF(AND(D69="Ja",B69&lt;&gt;""),COUNTIFS($B$5:B69,B69,$D$5:D69,"Ja"),"")</f>
        <v/>
      </c>
      <c r="G69" s="6">
        <f>IF(F69="","",IF(F69&lt;=Einstellungen!$B$5,Einstellungen!$B$3,Einstellungen!$B$4))</f>
        <v/>
      </c>
      <c r="H69" s="6">
        <f>IF(G69="",0,G69)</f>
        <v/>
      </c>
    </row>
    <row r="70">
      <c r="A70" s="11" t="n"/>
      <c r="B70" s="12" t="n"/>
      <c r="C70" s="12" t="n"/>
      <c r="D70" s="12" t="n"/>
      <c r="E70" s="13">
        <f>IF(A70="","",DATE(YEAR(A70),MONTH(A70),1))</f>
        <v/>
      </c>
      <c r="F70" s="5">
        <f>IF(AND(D70="Ja",B70&lt;&gt;""),COUNTIFS($B$5:B70,B70,$D$5:D70,"Ja"),"")</f>
        <v/>
      </c>
      <c r="G70" s="6">
        <f>IF(F70="","",IF(F70&lt;=Einstellungen!$B$5,Einstellungen!$B$3,Einstellungen!$B$4))</f>
        <v/>
      </c>
      <c r="H70" s="6">
        <f>IF(G70="",0,G70)</f>
        <v/>
      </c>
    </row>
    <row r="71">
      <c r="A71" s="11" t="n"/>
      <c r="B71" s="12" t="n"/>
      <c r="C71" s="12" t="n"/>
      <c r="D71" s="12" t="n"/>
      <c r="E71" s="13">
        <f>IF(A71="","",DATE(YEAR(A71),MONTH(A71),1))</f>
        <v/>
      </c>
      <c r="F71" s="5">
        <f>IF(AND(D71="Ja",B71&lt;&gt;""),COUNTIFS($B$5:B71,B71,$D$5:D71,"Ja"),"")</f>
        <v/>
      </c>
      <c r="G71" s="6">
        <f>IF(F71="","",IF(F71&lt;=Einstellungen!$B$5,Einstellungen!$B$3,Einstellungen!$B$4))</f>
        <v/>
      </c>
      <c r="H71" s="6">
        <f>IF(G71="",0,G71)</f>
        <v/>
      </c>
    </row>
    <row r="72">
      <c r="A72" s="11" t="n"/>
      <c r="B72" s="12" t="n"/>
      <c r="C72" s="12" t="n"/>
      <c r="D72" s="12" t="n"/>
      <c r="E72" s="13">
        <f>IF(A72="","",DATE(YEAR(A72),MONTH(A72),1))</f>
        <v/>
      </c>
      <c r="F72" s="5">
        <f>IF(AND(D72="Ja",B72&lt;&gt;""),COUNTIFS($B$5:B72,B72,$D$5:D72,"Ja"),"")</f>
        <v/>
      </c>
      <c r="G72" s="6">
        <f>IF(F72="","",IF(F72&lt;=Einstellungen!$B$5,Einstellungen!$B$3,Einstellungen!$B$4))</f>
        <v/>
      </c>
      <c r="H72" s="6">
        <f>IF(G72="",0,G72)</f>
        <v/>
      </c>
    </row>
    <row r="73">
      <c r="A73" s="11" t="n"/>
      <c r="B73" s="12" t="n"/>
      <c r="C73" s="12" t="n"/>
      <c r="D73" s="12" t="n"/>
      <c r="E73" s="13">
        <f>IF(A73="","",DATE(YEAR(A73),MONTH(A73),1))</f>
        <v/>
      </c>
      <c r="F73" s="5">
        <f>IF(AND(D73="Ja",B73&lt;&gt;""),COUNTIFS($B$5:B73,B73,$D$5:D73,"Ja"),"")</f>
        <v/>
      </c>
      <c r="G73" s="6">
        <f>IF(F73="","",IF(F73&lt;=Einstellungen!$B$5,Einstellungen!$B$3,Einstellungen!$B$4))</f>
        <v/>
      </c>
      <c r="H73" s="6">
        <f>IF(G73="",0,G73)</f>
        <v/>
      </c>
    </row>
    <row r="74">
      <c r="A74" s="11" t="n"/>
      <c r="B74" s="12" t="n"/>
      <c r="C74" s="12" t="n"/>
      <c r="D74" s="12" t="n"/>
      <c r="E74" s="13">
        <f>IF(A74="","",DATE(YEAR(A74),MONTH(A74),1))</f>
        <v/>
      </c>
      <c r="F74" s="5">
        <f>IF(AND(D74="Ja",B74&lt;&gt;""),COUNTIFS($B$5:B74,B74,$D$5:D74,"Ja"),"")</f>
        <v/>
      </c>
      <c r="G74" s="6">
        <f>IF(F74="","",IF(F74&lt;=Einstellungen!$B$5,Einstellungen!$B$3,Einstellungen!$B$4))</f>
        <v/>
      </c>
      <c r="H74" s="6">
        <f>IF(G74="",0,G74)</f>
        <v/>
      </c>
    </row>
    <row r="75">
      <c r="A75" s="11" t="n"/>
      <c r="B75" s="12" t="n"/>
      <c r="C75" s="12" t="n"/>
      <c r="D75" s="12" t="n"/>
      <c r="E75" s="13">
        <f>IF(A75="","",DATE(YEAR(A75),MONTH(A75),1))</f>
        <v/>
      </c>
      <c r="F75" s="5">
        <f>IF(AND(D75="Ja",B75&lt;&gt;""),COUNTIFS($B$5:B75,B75,$D$5:D75,"Ja"),"")</f>
        <v/>
      </c>
      <c r="G75" s="6">
        <f>IF(F75="","",IF(F75&lt;=Einstellungen!$B$5,Einstellungen!$B$3,Einstellungen!$B$4))</f>
        <v/>
      </c>
      <c r="H75" s="6">
        <f>IF(G75="",0,G75)</f>
        <v/>
      </c>
    </row>
    <row r="76">
      <c r="A76" s="11" t="n"/>
      <c r="B76" s="12" t="n"/>
      <c r="C76" s="12" t="n"/>
      <c r="D76" s="12" t="n"/>
      <c r="E76" s="13">
        <f>IF(A76="","",DATE(YEAR(A76),MONTH(A76),1))</f>
        <v/>
      </c>
      <c r="F76" s="5">
        <f>IF(AND(D76="Ja",B76&lt;&gt;""),COUNTIFS($B$5:B76,B76,$D$5:D76,"Ja"),"")</f>
        <v/>
      </c>
      <c r="G76" s="6">
        <f>IF(F76="","",IF(F76&lt;=Einstellungen!$B$5,Einstellungen!$B$3,Einstellungen!$B$4))</f>
        <v/>
      </c>
      <c r="H76" s="6">
        <f>IF(G76="",0,G76)</f>
        <v/>
      </c>
    </row>
    <row r="77">
      <c r="A77" s="11" t="n"/>
      <c r="B77" s="12" t="n"/>
      <c r="C77" s="12" t="n"/>
      <c r="D77" s="12" t="n"/>
      <c r="E77" s="13">
        <f>IF(A77="","",DATE(YEAR(A77),MONTH(A77),1))</f>
        <v/>
      </c>
      <c r="F77" s="5">
        <f>IF(AND(D77="Ja",B77&lt;&gt;""),COUNTIFS($B$5:B77,B77,$D$5:D77,"Ja"),"")</f>
        <v/>
      </c>
      <c r="G77" s="6">
        <f>IF(F77="","",IF(F77&lt;=Einstellungen!$B$5,Einstellungen!$B$3,Einstellungen!$B$4))</f>
        <v/>
      </c>
      <c r="H77" s="6">
        <f>IF(G77="",0,G77)</f>
        <v/>
      </c>
    </row>
    <row r="78">
      <c r="A78" s="11" t="n"/>
      <c r="B78" s="12" t="n"/>
      <c r="C78" s="12" t="n"/>
      <c r="D78" s="12" t="n"/>
      <c r="E78" s="13">
        <f>IF(A78="","",DATE(YEAR(A78),MONTH(A78),1))</f>
        <v/>
      </c>
      <c r="F78" s="5">
        <f>IF(AND(D78="Ja",B78&lt;&gt;""),COUNTIFS($B$5:B78,B78,$D$5:D78,"Ja"),"")</f>
        <v/>
      </c>
      <c r="G78" s="6">
        <f>IF(F78="","",IF(F78&lt;=Einstellungen!$B$5,Einstellungen!$B$3,Einstellungen!$B$4))</f>
        <v/>
      </c>
      <c r="H78" s="6">
        <f>IF(G78="",0,G78)</f>
        <v/>
      </c>
    </row>
    <row r="79">
      <c r="A79" s="11" t="n"/>
      <c r="B79" s="12" t="n"/>
      <c r="C79" s="12" t="n"/>
      <c r="D79" s="12" t="n"/>
      <c r="E79" s="13">
        <f>IF(A79="","",DATE(YEAR(A79),MONTH(A79),1))</f>
        <v/>
      </c>
      <c r="F79" s="5">
        <f>IF(AND(D79="Ja",B79&lt;&gt;""),COUNTIFS($B$5:B79,B79,$D$5:D79,"Ja"),"")</f>
        <v/>
      </c>
      <c r="G79" s="6">
        <f>IF(F79="","",IF(F79&lt;=Einstellungen!$B$5,Einstellungen!$B$3,Einstellungen!$B$4))</f>
        <v/>
      </c>
      <c r="H79" s="6">
        <f>IF(G79="",0,G79)</f>
        <v/>
      </c>
    </row>
    <row r="80">
      <c r="A80" s="11" t="n"/>
      <c r="B80" s="12" t="n"/>
      <c r="C80" s="12" t="n"/>
      <c r="D80" s="12" t="n"/>
      <c r="E80" s="13">
        <f>IF(A80="","",DATE(YEAR(A80),MONTH(A80),1))</f>
        <v/>
      </c>
      <c r="F80" s="5">
        <f>IF(AND(D80="Ja",B80&lt;&gt;""),COUNTIFS($B$5:B80,B80,$D$5:D80,"Ja"),"")</f>
        <v/>
      </c>
      <c r="G80" s="6">
        <f>IF(F80="","",IF(F80&lt;=Einstellungen!$B$5,Einstellungen!$B$3,Einstellungen!$B$4))</f>
        <v/>
      </c>
      <c r="H80" s="6">
        <f>IF(G80="",0,G80)</f>
        <v/>
      </c>
    </row>
    <row r="81">
      <c r="A81" s="11" t="n"/>
      <c r="B81" s="12" t="n"/>
      <c r="C81" s="12" t="n"/>
      <c r="D81" s="12" t="n"/>
      <c r="E81" s="13">
        <f>IF(A81="","",DATE(YEAR(A81),MONTH(A81),1))</f>
        <v/>
      </c>
      <c r="F81" s="5">
        <f>IF(AND(D81="Ja",B81&lt;&gt;""),COUNTIFS($B$5:B81,B81,$D$5:D81,"Ja"),"")</f>
        <v/>
      </c>
      <c r="G81" s="6">
        <f>IF(F81="","",IF(F81&lt;=Einstellungen!$B$5,Einstellungen!$B$3,Einstellungen!$B$4))</f>
        <v/>
      </c>
      <c r="H81" s="6">
        <f>IF(G81="",0,G81)</f>
        <v/>
      </c>
    </row>
    <row r="82">
      <c r="A82" s="11" t="n"/>
      <c r="B82" s="12" t="n"/>
      <c r="C82" s="12" t="n"/>
      <c r="D82" s="12" t="n"/>
      <c r="E82" s="13">
        <f>IF(A82="","",DATE(YEAR(A82),MONTH(A82),1))</f>
        <v/>
      </c>
      <c r="F82" s="5">
        <f>IF(AND(D82="Ja",B82&lt;&gt;""),COUNTIFS($B$5:B82,B82,$D$5:D82,"Ja"),"")</f>
        <v/>
      </c>
      <c r="G82" s="6">
        <f>IF(F82="","",IF(F82&lt;=Einstellungen!$B$5,Einstellungen!$B$3,Einstellungen!$B$4))</f>
        <v/>
      </c>
      <c r="H82" s="6">
        <f>IF(G82="",0,G82)</f>
        <v/>
      </c>
    </row>
    <row r="83">
      <c r="A83" s="11" t="n"/>
      <c r="B83" s="12" t="n"/>
      <c r="C83" s="12" t="n"/>
      <c r="D83" s="12" t="n"/>
      <c r="E83" s="13">
        <f>IF(A83="","",DATE(YEAR(A83),MONTH(A83),1))</f>
        <v/>
      </c>
      <c r="F83" s="5">
        <f>IF(AND(D83="Ja",B83&lt;&gt;""),COUNTIFS($B$5:B83,B83,$D$5:D83,"Ja"),"")</f>
        <v/>
      </c>
      <c r="G83" s="6">
        <f>IF(F83="","",IF(F83&lt;=Einstellungen!$B$5,Einstellungen!$B$3,Einstellungen!$B$4))</f>
        <v/>
      </c>
      <c r="H83" s="6">
        <f>IF(G83="",0,G83)</f>
        <v/>
      </c>
    </row>
    <row r="84">
      <c r="A84" s="11" t="n"/>
      <c r="B84" s="12" t="n"/>
      <c r="C84" s="12" t="n"/>
      <c r="D84" s="12" t="n"/>
      <c r="E84" s="13">
        <f>IF(A84="","",DATE(YEAR(A84),MONTH(A84),1))</f>
        <v/>
      </c>
      <c r="F84" s="5">
        <f>IF(AND(D84="Ja",B84&lt;&gt;""),COUNTIFS($B$5:B84,B84,$D$5:D84,"Ja"),"")</f>
        <v/>
      </c>
      <c r="G84" s="6">
        <f>IF(F84="","",IF(F84&lt;=Einstellungen!$B$5,Einstellungen!$B$3,Einstellungen!$B$4))</f>
        <v/>
      </c>
      <c r="H84" s="6">
        <f>IF(G84="",0,G84)</f>
        <v/>
      </c>
    </row>
    <row r="85">
      <c r="A85" s="11" t="n"/>
      <c r="B85" s="12" t="n"/>
      <c r="C85" s="12" t="n"/>
      <c r="D85" s="12" t="n"/>
      <c r="E85" s="13">
        <f>IF(A85="","",DATE(YEAR(A85),MONTH(A85),1))</f>
        <v/>
      </c>
      <c r="F85" s="5">
        <f>IF(AND(D85="Ja",B85&lt;&gt;""),COUNTIFS($B$5:B85,B85,$D$5:D85,"Ja"),"")</f>
        <v/>
      </c>
      <c r="G85" s="6">
        <f>IF(F85="","",IF(F85&lt;=Einstellungen!$B$5,Einstellungen!$B$3,Einstellungen!$B$4))</f>
        <v/>
      </c>
      <c r="H85" s="6">
        <f>IF(G85="",0,G85)</f>
        <v/>
      </c>
    </row>
    <row r="86">
      <c r="A86" s="11" t="n"/>
      <c r="B86" s="12" t="n"/>
      <c r="C86" s="12" t="n"/>
      <c r="D86" s="12" t="n"/>
      <c r="E86" s="13">
        <f>IF(A86="","",DATE(YEAR(A86),MONTH(A86),1))</f>
        <v/>
      </c>
      <c r="F86" s="5">
        <f>IF(AND(D86="Ja",B86&lt;&gt;""),COUNTIFS($B$5:B86,B86,$D$5:D86,"Ja"),"")</f>
        <v/>
      </c>
      <c r="G86" s="6">
        <f>IF(F86="","",IF(F86&lt;=Einstellungen!$B$5,Einstellungen!$B$3,Einstellungen!$B$4))</f>
        <v/>
      </c>
      <c r="H86" s="6">
        <f>IF(G86="",0,G86)</f>
        <v/>
      </c>
    </row>
    <row r="87">
      <c r="A87" s="11" t="n"/>
      <c r="B87" s="12" t="n"/>
      <c r="C87" s="12" t="n"/>
      <c r="D87" s="12" t="n"/>
      <c r="E87" s="13">
        <f>IF(A87="","",DATE(YEAR(A87),MONTH(A87),1))</f>
        <v/>
      </c>
      <c r="F87" s="5">
        <f>IF(AND(D87="Ja",B87&lt;&gt;""),COUNTIFS($B$5:B87,B87,$D$5:D87,"Ja"),"")</f>
        <v/>
      </c>
      <c r="G87" s="6">
        <f>IF(F87="","",IF(F87&lt;=Einstellungen!$B$5,Einstellungen!$B$3,Einstellungen!$B$4))</f>
        <v/>
      </c>
      <c r="H87" s="6">
        <f>IF(G87="",0,G87)</f>
        <v/>
      </c>
    </row>
    <row r="88">
      <c r="A88" s="11" t="n"/>
      <c r="B88" s="12" t="n"/>
      <c r="C88" s="12" t="n"/>
      <c r="D88" s="12" t="n"/>
      <c r="E88" s="13">
        <f>IF(A88="","",DATE(YEAR(A88),MONTH(A88),1))</f>
        <v/>
      </c>
      <c r="F88" s="5">
        <f>IF(AND(D88="Ja",B88&lt;&gt;""),COUNTIFS($B$5:B88,B88,$D$5:D88,"Ja"),"")</f>
        <v/>
      </c>
      <c r="G88" s="6">
        <f>IF(F88="","",IF(F88&lt;=Einstellungen!$B$5,Einstellungen!$B$3,Einstellungen!$B$4))</f>
        <v/>
      </c>
      <c r="H88" s="6">
        <f>IF(G88="",0,G88)</f>
        <v/>
      </c>
    </row>
    <row r="89">
      <c r="A89" s="11" t="n"/>
      <c r="B89" s="12" t="n"/>
      <c r="C89" s="12" t="n"/>
      <c r="D89" s="12" t="n"/>
      <c r="E89" s="13">
        <f>IF(A89="","",DATE(YEAR(A89),MONTH(A89),1))</f>
        <v/>
      </c>
      <c r="F89" s="5">
        <f>IF(AND(D89="Ja",B89&lt;&gt;""),COUNTIFS($B$5:B89,B89,$D$5:D89,"Ja"),"")</f>
        <v/>
      </c>
      <c r="G89" s="6">
        <f>IF(F89="","",IF(F89&lt;=Einstellungen!$B$5,Einstellungen!$B$3,Einstellungen!$B$4))</f>
        <v/>
      </c>
      <c r="H89" s="6">
        <f>IF(G89="",0,G89)</f>
        <v/>
      </c>
    </row>
    <row r="90">
      <c r="A90" s="11" t="n"/>
      <c r="B90" s="12" t="n"/>
      <c r="C90" s="12" t="n"/>
      <c r="D90" s="12" t="n"/>
      <c r="E90" s="13">
        <f>IF(A90="","",DATE(YEAR(A90),MONTH(A90),1))</f>
        <v/>
      </c>
      <c r="F90" s="5">
        <f>IF(AND(D90="Ja",B90&lt;&gt;""),COUNTIFS($B$5:B90,B90,$D$5:D90,"Ja"),"")</f>
        <v/>
      </c>
      <c r="G90" s="6">
        <f>IF(F90="","",IF(F90&lt;=Einstellungen!$B$5,Einstellungen!$B$3,Einstellungen!$B$4))</f>
        <v/>
      </c>
      <c r="H90" s="6">
        <f>IF(G90="",0,G90)</f>
        <v/>
      </c>
    </row>
    <row r="91">
      <c r="A91" s="11" t="n"/>
      <c r="B91" s="12" t="n"/>
      <c r="C91" s="12" t="n"/>
      <c r="D91" s="12" t="n"/>
      <c r="E91" s="13">
        <f>IF(A91="","",DATE(YEAR(A91),MONTH(A91),1))</f>
        <v/>
      </c>
      <c r="F91" s="5">
        <f>IF(AND(D91="Ja",B91&lt;&gt;""),COUNTIFS($B$5:B91,B91,$D$5:D91,"Ja"),"")</f>
        <v/>
      </c>
      <c r="G91" s="6">
        <f>IF(F91="","",IF(F91&lt;=Einstellungen!$B$5,Einstellungen!$B$3,Einstellungen!$B$4))</f>
        <v/>
      </c>
      <c r="H91" s="6">
        <f>IF(G91="",0,G91)</f>
        <v/>
      </c>
    </row>
    <row r="92">
      <c r="A92" s="11" t="n"/>
      <c r="B92" s="12" t="n"/>
      <c r="C92" s="12" t="n"/>
      <c r="D92" s="12" t="n"/>
      <c r="E92" s="13">
        <f>IF(A92="","",DATE(YEAR(A92),MONTH(A92),1))</f>
        <v/>
      </c>
      <c r="F92" s="5">
        <f>IF(AND(D92="Ja",B92&lt;&gt;""),COUNTIFS($B$5:B92,B92,$D$5:D92,"Ja"),"")</f>
        <v/>
      </c>
      <c r="G92" s="6">
        <f>IF(F92="","",IF(F92&lt;=Einstellungen!$B$5,Einstellungen!$B$3,Einstellungen!$B$4))</f>
        <v/>
      </c>
      <c r="H92" s="6">
        <f>IF(G92="",0,G92)</f>
        <v/>
      </c>
    </row>
    <row r="93">
      <c r="A93" s="11" t="n"/>
      <c r="B93" s="12" t="n"/>
      <c r="C93" s="12" t="n"/>
      <c r="D93" s="12" t="n"/>
      <c r="E93" s="13">
        <f>IF(A93="","",DATE(YEAR(A93),MONTH(A93),1))</f>
        <v/>
      </c>
      <c r="F93" s="5">
        <f>IF(AND(D93="Ja",B93&lt;&gt;""),COUNTIFS($B$5:B93,B93,$D$5:D93,"Ja"),"")</f>
        <v/>
      </c>
      <c r="G93" s="6">
        <f>IF(F93="","",IF(F93&lt;=Einstellungen!$B$5,Einstellungen!$B$3,Einstellungen!$B$4))</f>
        <v/>
      </c>
      <c r="H93" s="6">
        <f>IF(G93="",0,G93)</f>
        <v/>
      </c>
    </row>
    <row r="94">
      <c r="A94" s="11" t="n"/>
      <c r="B94" s="12" t="n"/>
      <c r="C94" s="12" t="n"/>
      <c r="D94" s="12" t="n"/>
      <c r="E94" s="13">
        <f>IF(A94="","",DATE(YEAR(A94),MONTH(A94),1))</f>
        <v/>
      </c>
      <c r="F94" s="5">
        <f>IF(AND(D94="Ja",B94&lt;&gt;""),COUNTIFS($B$5:B94,B94,$D$5:D94,"Ja"),"")</f>
        <v/>
      </c>
      <c r="G94" s="6">
        <f>IF(F94="","",IF(F94&lt;=Einstellungen!$B$5,Einstellungen!$B$3,Einstellungen!$B$4))</f>
        <v/>
      </c>
      <c r="H94" s="6">
        <f>IF(G94="",0,G94)</f>
        <v/>
      </c>
    </row>
    <row r="95">
      <c r="A95" s="11" t="n"/>
      <c r="B95" s="12" t="n"/>
      <c r="C95" s="12" t="n"/>
      <c r="D95" s="12" t="n"/>
      <c r="E95" s="13">
        <f>IF(A95="","",DATE(YEAR(A95),MONTH(A95),1))</f>
        <v/>
      </c>
      <c r="F95" s="5">
        <f>IF(AND(D95="Ja",B95&lt;&gt;""),COUNTIFS($B$5:B95,B95,$D$5:D95,"Ja"),"")</f>
        <v/>
      </c>
      <c r="G95" s="6">
        <f>IF(F95="","",IF(F95&lt;=Einstellungen!$B$5,Einstellungen!$B$3,Einstellungen!$B$4))</f>
        <v/>
      </c>
      <c r="H95" s="6">
        <f>IF(G95="",0,G95)</f>
        <v/>
      </c>
    </row>
    <row r="96">
      <c r="A96" s="11" t="n"/>
      <c r="B96" s="12" t="n"/>
      <c r="C96" s="12" t="n"/>
      <c r="D96" s="12" t="n"/>
      <c r="E96" s="13">
        <f>IF(A96="","",DATE(YEAR(A96),MONTH(A96),1))</f>
        <v/>
      </c>
      <c r="F96" s="5">
        <f>IF(AND(D96="Ja",B96&lt;&gt;""),COUNTIFS($B$5:B96,B96,$D$5:D96,"Ja"),"")</f>
        <v/>
      </c>
      <c r="G96" s="6">
        <f>IF(F96="","",IF(F96&lt;=Einstellungen!$B$5,Einstellungen!$B$3,Einstellungen!$B$4))</f>
        <v/>
      </c>
      <c r="H96" s="6">
        <f>IF(G96="",0,G96)</f>
        <v/>
      </c>
    </row>
    <row r="97">
      <c r="A97" s="11" t="n"/>
      <c r="B97" s="12" t="n"/>
      <c r="C97" s="12" t="n"/>
      <c r="D97" s="12" t="n"/>
      <c r="E97" s="13">
        <f>IF(A97="","",DATE(YEAR(A97),MONTH(A97),1))</f>
        <v/>
      </c>
      <c r="F97" s="5">
        <f>IF(AND(D97="Ja",B97&lt;&gt;""),COUNTIFS($B$5:B97,B97,$D$5:D97,"Ja"),"")</f>
        <v/>
      </c>
      <c r="G97" s="6">
        <f>IF(F97="","",IF(F97&lt;=Einstellungen!$B$5,Einstellungen!$B$3,Einstellungen!$B$4))</f>
        <v/>
      </c>
      <c r="H97" s="6">
        <f>IF(G97="",0,G97)</f>
        <v/>
      </c>
    </row>
    <row r="98">
      <c r="A98" s="11" t="n"/>
      <c r="B98" s="12" t="n"/>
      <c r="C98" s="12" t="n"/>
      <c r="D98" s="12" t="n"/>
      <c r="E98" s="13">
        <f>IF(A98="","",DATE(YEAR(A98),MONTH(A98),1))</f>
        <v/>
      </c>
      <c r="F98" s="5">
        <f>IF(AND(D98="Ja",B98&lt;&gt;""),COUNTIFS($B$5:B98,B98,$D$5:D98,"Ja"),"")</f>
        <v/>
      </c>
      <c r="G98" s="6">
        <f>IF(F98="","",IF(F98&lt;=Einstellungen!$B$5,Einstellungen!$B$3,Einstellungen!$B$4))</f>
        <v/>
      </c>
      <c r="H98" s="6">
        <f>IF(G98="",0,G98)</f>
        <v/>
      </c>
    </row>
    <row r="99">
      <c r="A99" s="11" t="n"/>
      <c r="B99" s="12" t="n"/>
      <c r="C99" s="12" t="n"/>
      <c r="D99" s="12" t="n"/>
      <c r="E99" s="13">
        <f>IF(A99="","",DATE(YEAR(A99),MONTH(A99),1))</f>
        <v/>
      </c>
      <c r="F99" s="5">
        <f>IF(AND(D99="Ja",B99&lt;&gt;""),COUNTIFS($B$5:B99,B99,$D$5:D99,"Ja"),"")</f>
        <v/>
      </c>
      <c r="G99" s="6">
        <f>IF(F99="","",IF(F99&lt;=Einstellungen!$B$5,Einstellungen!$B$3,Einstellungen!$B$4))</f>
        <v/>
      </c>
      <c r="H99" s="6">
        <f>IF(G99="",0,G99)</f>
        <v/>
      </c>
    </row>
    <row r="100">
      <c r="A100" s="11" t="n"/>
      <c r="B100" s="12" t="n"/>
      <c r="C100" s="12" t="n"/>
      <c r="D100" s="12" t="n"/>
      <c r="E100" s="13">
        <f>IF(A100="","",DATE(YEAR(A100),MONTH(A100),1))</f>
        <v/>
      </c>
      <c r="F100" s="5">
        <f>IF(AND(D100="Ja",B100&lt;&gt;""),COUNTIFS($B$5:B100,B100,$D$5:D100,"Ja"),"")</f>
        <v/>
      </c>
      <c r="G100" s="6">
        <f>IF(F100="","",IF(F100&lt;=Einstellungen!$B$5,Einstellungen!$B$3,Einstellungen!$B$4))</f>
        <v/>
      </c>
      <c r="H100" s="6">
        <f>IF(G100="",0,G100)</f>
        <v/>
      </c>
    </row>
    <row r="101">
      <c r="A101" s="11" t="n"/>
      <c r="B101" s="12" t="n"/>
      <c r="C101" s="12" t="n"/>
      <c r="D101" s="12" t="n"/>
      <c r="E101" s="13">
        <f>IF(A101="","",DATE(YEAR(A101),MONTH(A101),1))</f>
        <v/>
      </c>
      <c r="F101" s="5">
        <f>IF(AND(D101="Ja",B101&lt;&gt;""),COUNTIFS($B$5:B101,B101,$D$5:D101,"Ja"),"")</f>
        <v/>
      </c>
      <c r="G101" s="6">
        <f>IF(F101="","",IF(F101&lt;=Einstellungen!$B$5,Einstellungen!$B$3,Einstellungen!$B$4))</f>
        <v/>
      </c>
      <c r="H101" s="6">
        <f>IF(G101="",0,G101)</f>
        <v/>
      </c>
    </row>
    <row r="102">
      <c r="A102" s="11" t="n"/>
      <c r="B102" s="12" t="n"/>
      <c r="C102" s="12" t="n"/>
      <c r="D102" s="12" t="n"/>
      <c r="E102" s="13">
        <f>IF(A102="","",DATE(YEAR(A102),MONTH(A102),1))</f>
        <v/>
      </c>
      <c r="F102" s="5">
        <f>IF(AND(D102="Ja",B102&lt;&gt;""),COUNTIFS($B$5:B102,B102,$D$5:D102,"Ja"),"")</f>
        <v/>
      </c>
      <c r="G102" s="6">
        <f>IF(F102="","",IF(F102&lt;=Einstellungen!$B$5,Einstellungen!$B$3,Einstellungen!$B$4))</f>
        <v/>
      </c>
      <c r="H102" s="6">
        <f>IF(G102="",0,G102)</f>
        <v/>
      </c>
    </row>
    <row r="103">
      <c r="A103" s="11" t="n"/>
      <c r="B103" s="12" t="n"/>
      <c r="C103" s="12" t="n"/>
      <c r="D103" s="12" t="n"/>
      <c r="E103" s="13">
        <f>IF(A103="","",DATE(YEAR(A103),MONTH(A103),1))</f>
        <v/>
      </c>
      <c r="F103" s="5">
        <f>IF(AND(D103="Ja",B103&lt;&gt;""),COUNTIFS($B$5:B103,B103,$D$5:D103,"Ja"),"")</f>
        <v/>
      </c>
      <c r="G103" s="6">
        <f>IF(F103="","",IF(F103&lt;=Einstellungen!$B$5,Einstellungen!$B$3,Einstellungen!$B$4))</f>
        <v/>
      </c>
      <c r="H103" s="6">
        <f>IF(G103="",0,G103)</f>
        <v/>
      </c>
    </row>
    <row r="104">
      <c r="A104" s="11" t="n"/>
      <c r="B104" s="12" t="n"/>
      <c r="C104" s="12" t="n"/>
      <c r="D104" s="12" t="n"/>
      <c r="E104" s="13">
        <f>IF(A104="","",DATE(YEAR(A104),MONTH(A104),1))</f>
        <v/>
      </c>
      <c r="F104" s="5">
        <f>IF(AND(D104="Ja",B104&lt;&gt;""),COUNTIFS($B$5:B104,B104,$D$5:D104,"Ja"),"")</f>
        <v/>
      </c>
      <c r="G104" s="6">
        <f>IF(F104="","",IF(F104&lt;=Einstellungen!$B$5,Einstellungen!$B$3,Einstellungen!$B$4))</f>
        <v/>
      </c>
      <c r="H104" s="6">
        <f>IF(G104="",0,G104)</f>
        <v/>
      </c>
    </row>
    <row r="105">
      <c r="A105" s="11" t="n"/>
      <c r="B105" s="12" t="n"/>
      <c r="C105" s="12" t="n"/>
      <c r="D105" s="12" t="n"/>
      <c r="E105" s="13">
        <f>IF(A105="","",DATE(YEAR(A105),MONTH(A105),1))</f>
        <v/>
      </c>
      <c r="F105" s="5">
        <f>IF(AND(D105="Ja",B105&lt;&gt;""),COUNTIFS($B$5:B105,B105,$D$5:D105,"Ja"),"")</f>
        <v/>
      </c>
      <c r="G105" s="6">
        <f>IF(F105="","",IF(F105&lt;=Einstellungen!$B$5,Einstellungen!$B$3,Einstellungen!$B$4))</f>
        <v/>
      </c>
      <c r="H105" s="6">
        <f>IF(G105="",0,G105)</f>
        <v/>
      </c>
    </row>
    <row r="106">
      <c r="A106" s="11" t="n"/>
      <c r="B106" s="12" t="n"/>
      <c r="C106" s="12" t="n"/>
      <c r="D106" s="12" t="n"/>
      <c r="E106" s="13">
        <f>IF(A106="","",DATE(YEAR(A106),MONTH(A106),1))</f>
        <v/>
      </c>
      <c r="F106" s="5">
        <f>IF(AND(D106="Ja",B106&lt;&gt;""),COUNTIFS($B$5:B106,B106,$D$5:D106,"Ja"),"")</f>
        <v/>
      </c>
      <c r="G106" s="6">
        <f>IF(F106="","",IF(F106&lt;=Einstellungen!$B$5,Einstellungen!$B$3,Einstellungen!$B$4))</f>
        <v/>
      </c>
      <c r="H106" s="6">
        <f>IF(G106="",0,G106)</f>
        <v/>
      </c>
    </row>
    <row r="107">
      <c r="A107" s="11" t="n"/>
      <c r="B107" s="12" t="n"/>
      <c r="C107" s="12" t="n"/>
      <c r="D107" s="12" t="n"/>
      <c r="E107" s="13">
        <f>IF(A107="","",DATE(YEAR(A107),MONTH(A107),1))</f>
        <v/>
      </c>
      <c r="F107" s="5">
        <f>IF(AND(D107="Ja",B107&lt;&gt;""),COUNTIFS($B$5:B107,B107,$D$5:D107,"Ja"),"")</f>
        <v/>
      </c>
      <c r="G107" s="6">
        <f>IF(F107="","",IF(F107&lt;=Einstellungen!$B$5,Einstellungen!$B$3,Einstellungen!$B$4))</f>
        <v/>
      </c>
      <c r="H107" s="6">
        <f>IF(G107="",0,G107)</f>
        <v/>
      </c>
    </row>
    <row r="108">
      <c r="A108" s="11" t="n"/>
      <c r="B108" s="12" t="n"/>
      <c r="C108" s="12" t="n"/>
      <c r="D108" s="12" t="n"/>
      <c r="E108" s="13">
        <f>IF(A108="","",DATE(YEAR(A108),MONTH(A108),1))</f>
        <v/>
      </c>
      <c r="F108" s="5">
        <f>IF(AND(D108="Ja",B108&lt;&gt;""),COUNTIFS($B$5:B108,B108,$D$5:D108,"Ja"),"")</f>
        <v/>
      </c>
      <c r="G108" s="6">
        <f>IF(F108="","",IF(F108&lt;=Einstellungen!$B$5,Einstellungen!$B$3,Einstellungen!$B$4))</f>
        <v/>
      </c>
      <c r="H108" s="6">
        <f>IF(G108="",0,G108)</f>
        <v/>
      </c>
    </row>
    <row r="109">
      <c r="A109" s="11" t="n"/>
      <c r="B109" s="12" t="n"/>
      <c r="C109" s="12" t="n"/>
      <c r="D109" s="12" t="n"/>
      <c r="E109" s="13">
        <f>IF(A109="","",DATE(YEAR(A109),MONTH(A109),1))</f>
        <v/>
      </c>
      <c r="F109" s="5">
        <f>IF(AND(D109="Ja",B109&lt;&gt;""),COUNTIFS($B$5:B109,B109,$D$5:D109,"Ja"),"")</f>
        <v/>
      </c>
      <c r="G109" s="6">
        <f>IF(F109="","",IF(F109&lt;=Einstellungen!$B$5,Einstellungen!$B$3,Einstellungen!$B$4))</f>
        <v/>
      </c>
      <c r="H109" s="6">
        <f>IF(G109="",0,G109)</f>
        <v/>
      </c>
    </row>
    <row r="110">
      <c r="A110" s="11" t="n"/>
      <c r="B110" s="12" t="n"/>
      <c r="C110" s="12" t="n"/>
      <c r="D110" s="12" t="n"/>
      <c r="E110" s="13">
        <f>IF(A110="","",DATE(YEAR(A110),MONTH(A110),1))</f>
        <v/>
      </c>
      <c r="F110" s="5">
        <f>IF(AND(D110="Ja",B110&lt;&gt;""),COUNTIFS($B$5:B110,B110,$D$5:D110,"Ja"),"")</f>
        <v/>
      </c>
      <c r="G110" s="6">
        <f>IF(F110="","",IF(F110&lt;=Einstellungen!$B$5,Einstellungen!$B$3,Einstellungen!$B$4))</f>
        <v/>
      </c>
      <c r="H110" s="6">
        <f>IF(G110="",0,G110)</f>
        <v/>
      </c>
    </row>
    <row r="111">
      <c r="A111" s="11" t="n"/>
      <c r="B111" s="12" t="n"/>
      <c r="C111" s="12" t="n"/>
      <c r="D111" s="12" t="n"/>
      <c r="E111" s="13">
        <f>IF(A111="","",DATE(YEAR(A111),MONTH(A111),1))</f>
        <v/>
      </c>
      <c r="F111" s="5">
        <f>IF(AND(D111="Ja",B111&lt;&gt;""),COUNTIFS($B$5:B111,B111,$D$5:D111,"Ja"),"")</f>
        <v/>
      </c>
      <c r="G111" s="6">
        <f>IF(F111="","",IF(F111&lt;=Einstellungen!$B$5,Einstellungen!$B$3,Einstellungen!$B$4))</f>
        <v/>
      </c>
      <c r="H111" s="6">
        <f>IF(G111="",0,G111)</f>
        <v/>
      </c>
    </row>
    <row r="112">
      <c r="A112" s="11" t="n"/>
      <c r="B112" s="12" t="n"/>
      <c r="C112" s="12" t="n"/>
      <c r="D112" s="12" t="n"/>
      <c r="E112" s="13">
        <f>IF(A112="","",DATE(YEAR(A112),MONTH(A112),1))</f>
        <v/>
      </c>
      <c r="F112" s="5">
        <f>IF(AND(D112="Ja",B112&lt;&gt;""),COUNTIFS($B$5:B112,B112,$D$5:D112,"Ja"),"")</f>
        <v/>
      </c>
      <c r="G112" s="6">
        <f>IF(F112="","",IF(F112&lt;=Einstellungen!$B$5,Einstellungen!$B$3,Einstellungen!$B$4))</f>
        <v/>
      </c>
      <c r="H112" s="6">
        <f>IF(G112="",0,G112)</f>
        <v/>
      </c>
    </row>
    <row r="113">
      <c r="A113" s="11" t="n"/>
      <c r="B113" s="12" t="n"/>
      <c r="C113" s="12" t="n"/>
      <c r="D113" s="12" t="n"/>
      <c r="E113" s="13">
        <f>IF(A113="","",DATE(YEAR(A113),MONTH(A113),1))</f>
        <v/>
      </c>
      <c r="F113" s="5">
        <f>IF(AND(D113="Ja",B113&lt;&gt;""),COUNTIFS($B$5:B113,B113,$D$5:D113,"Ja"),"")</f>
        <v/>
      </c>
      <c r="G113" s="6">
        <f>IF(F113="","",IF(F113&lt;=Einstellungen!$B$5,Einstellungen!$B$3,Einstellungen!$B$4))</f>
        <v/>
      </c>
      <c r="H113" s="6">
        <f>IF(G113="",0,G113)</f>
        <v/>
      </c>
    </row>
    <row r="114">
      <c r="A114" s="11" t="n"/>
      <c r="B114" s="12" t="n"/>
      <c r="C114" s="12" t="n"/>
      <c r="D114" s="12" t="n"/>
      <c r="E114" s="13">
        <f>IF(A114="","",DATE(YEAR(A114),MONTH(A114),1))</f>
        <v/>
      </c>
      <c r="F114" s="5">
        <f>IF(AND(D114="Ja",B114&lt;&gt;""),COUNTIFS($B$5:B114,B114,$D$5:D114,"Ja"),"")</f>
        <v/>
      </c>
      <c r="G114" s="6">
        <f>IF(F114="","",IF(F114&lt;=Einstellungen!$B$5,Einstellungen!$B$3,Einstellungen!$B$4))</f>
        <v/>
      </c>
      <c r="H114" s="6">
        <f>IF(G114="",0,G114)</f>
        <v/>
      </c>
    </row>
    <row r="115">
      <c r="A115" s="11" t="n"/>
      <c r="B115" s="12" t="n"/>
      <c r="C115" s="12" t="n"/>
      <c r="D115" s="12" t="n"/>
      <c r="E115" s="13">
        <f>IF(A115="","",DATE(YEAR(A115),MONTH(A115),1))</f>
        <v/>
      </c>
      <c r="F115" s="5">
        <f>IF(AND(D115="Ja",B115&lt;&gt;""),COUNTIFS($B$5:B115,B115,$D$5:D115,"Ja"),"")</f>
        <v/>
      </c>
      <c r="G115" s="6">
        <f>IF(F115="","",IF(F115&lt;=Einstellungen!$B$5,Einstellungen!$B$3,Einstellungen!$B$4))</f>
        <v/>
      </c>
      <c r="H115" s="6">
        <f>IF(G115="",0,G115)</f>
        <v/>
      </c>
    </row>
    <row r="116">
      <c r="A116" s="11" t="n"/>
      <c r="B116" s="12" t="n"/>
      <c r="C116" s="12" t="n"/>
      <c r="D116" s="12" t="n"/>
      <c r="E116" s="13">
        <f>IF(A116="","",DATE(YEAR(A116),MONTH(A116),1))</f>
        <v/>
      </c>
      <c r="F116" s="5">
        <f>IF(AND(D116="Ja",B116&lt;&gt;""),COUNTIFS($B$5:B116,B116,$D$5:D116,"Ja"),"")</f>
        <v/>
      </c>
      <c r="G116" s="6">
        <f>IF(F116="","",IF(F116&lt;=Einstellungen!$B$5,Einstellungen!$B$3,Einstellungen!$B$4))</f>
        <v/>
      </c>
      <c r="H116" s="6">
        <f>IF(G116="",0,G116)</f>
        <v/>
      </c>
    </row>
    <row r="117">
      <c r="A117" s="11" t="n"/>
      <c r="B117" s="12" t="n"/>
      <c r="C117" s="12" t="n"/>
      <c r="D117" s="12" t="n"/>
      <c r="E117" s="13">
        <f>IF(A117="","",DATE(YEAR(A117),MONTH(A117),1))</f>
        <v/>
      </c>
      <c r="F117" s="5">
        <f>IF(AND(D117="Ja",B117&lt;&gt;""),COUNTIFS($B$5:B117,B117,$D$5:D117,"Ja"),"")</f>
        <v/>
      </c>
      <c r="G117" s="6">
        <f>IF(F117="","",IF(F117&lt;=Einstellungen!$B$5,Einstellungen!$B$3,Einstellungen!$B$4))</f>
        <v/>
      </c>
      <c r="H117" s="6">
        <f>IF(G117="",0,G117)</f>
        <v/>
      </c>
    </row>
    <row r="118">
      <c r="A118" s="11" t="n"/>
      <c r="B118" s="12" t="n"/>
      <c r="C118" s="12" t="n"/>
      <c r="D118" s="12" t="n"/>
      <c r="E118" s="13">
        <f>IF(A118="","",DATE(YEAR(A118),MONTH(A118),1))</f>
        <v/>
      </c>
      <c r="F118" s="5">
        <f>IF(AND(D118="Ja",B118&lt;&gt;""),COUNTIFS($B$5:B118,B118,$D$5:D118,"Ja"),"")</f>
        <v/>
      </c>
      <c r="G118" s="6">
        <f>IF(F118="","",IF(F118&lt;=Einstellungen!$B$5,Einstellungen!$B$3,Einstellungen!$B$4))</f>
        <v/>
      </c>
      <c r="H118" s="6">
        <f>IF(G118="",0,G118)</f>
        <v/>
      </c>
    </row>
    <row r="119">
      <c r="A119" s="11" t="n"/>
      <c r="B119" s="12" t="n"/>
      <c r="C119" s="12" t="n"/>
      <c r="D119" s="12" t="n"/>
      <c r="E119" s="13">
        <f>IF(A119="","",DATE(YEAR(A119),MONTH(A119),1))</f>
        <v/>
      </c>
      <c r="F119" s="5">
        <f>IF(AND(D119="Ja",B119&lt;&gt;""),COUNTIFS($B$5:B119,B119,$D$5:D119,"Ja"),"")</f>
        <v/>
      </c>
      <c r="G119" s="6">
        <f>IF(F119="","",IF(F119&lt;=Einstellungen!$B$5,Einstellungen!$B$3,Einstellungen!$B$4))</f>
        <v/>
      </c>
      <c r="H119" s="6">
        <f>IF(G119="",0,G119)</f>
        <v/>
      </c>
    </row>
    <row r="120">
      <c r="A120" s="11" t="n"/>
      <c r="B120" s="12" t="n"/>
      <c r="C120" s="12" t="n"/>
      <c r="D120" s="12" t="n"/>
      <c r="E120" s="13">
        <f>IF(A120="","",DATE(YEAR(A120),MONTH(A120),1))</f>
        <v/>
      </c>
      <c r="F120" s="5">
        <f>IF(AND(D120="Ja",B120&lt;&gt;""),COUNTIFS($B$5:B120,B120,$D$5:D120,"Ja"),"")</f>
        <v/>
      </c>
      <c r="G120" s="6">
        <f>IF(F120="","",IF(F120&lt;=Einstellungen!$B$5,Einstellungen!$B$3,Einstellungen!$B$4))</f>
        <v/>
      </c>
      <c r="H120" s="6">
        <f>IF(G120="",0,G120)</f>
        <v/>
      </c>
    </row>
    <row r="121">
      <c r="A121" s="11" t="n"/>
      <c r="B121" s="12" t="n"/>
      <c r="C121" s="12" t="n"/>
      <c r="D121" s="12" t="n"/>
      <c r="E121" s="13">
        <f>IF(A121="","",DATE(YEAR(A121),MONTH(A121),1))</f>
        <v/>
      </c>
      <c r="F121" s="5">
        <f>IF(AND(D121="Ja",B121&lt;&gt;""),COUNTIFS($B$5:B121,B121,$D$5:D121,"Ja"),"")</f>
        <v/>
      </c>
      <c r="G121" s="6">
        <f>IF(F121="","",IF(F121&lt;=Einstellungen!$B$5,Einstellungen!$B$3,Einstellungen!$B$4))</f>
        <v/>
      </c>
      <c r="H121" s="6">
        <f>IF(G121="",0,G121)</f>
        <v/>
      </c>
    </row>
    <row r="122">
      <c r="A122" s="11" t="n"/>
      <c r="B122" s="12" t="n"/>
      <c r="C122" s="12" t="n"/>
      <c r="D122" s="12" t="n"/>
      <c r="E122" s="13">
        <f>IF(A122="","",DATE(YEAR(A122),MONTH(A122),1))</f>
        <v/>
      </c>
      <c r="F122" s="5">
        <f>IF(AND(D122="Ja",B122&lt;&gt;""),COUNTIFS($B$5:B122,B122,$D$5:D122,"Ja"),"")</f>
        <v/>
      </c>
      <c r="G122" s="6">
        <f>IF(F122="","",IF(F122&lt;=Einstellungen!$B$5,Einstellungen!$B$3,Einstellungen!$B$4))</f>
        <v/>
      </c>
      <c r="H122" s="6">
        <f>IF(G122="",0,G122)</f>
        <v/>
      </c>
    </row>
    <row r="123">
      <c r="A123" s="11" t="n"/>
      <c r="B123" s="12" t="n"/>
      <c r="C123" s="12" t="n"/>
      <c r="D123" s="12" t="n"/>
      <c r="E123" s="13">
        <f>IF(A123="","",DATE(YEAR(A123),MONTH(A123),1))</f>
        <v/>
      </c>
      <c r="F123" s="5">
        <f>IF(AND(D123="Ja",B123&lt;&gt;""),COUNTIFS($B$5:B123,B123,$D$5:D123,"Ja"),"")</f>
        <v/>
      </c>
      <c r="G123" s="6">
        <f>IF(F123="","",IF(F123&lt;=Einstellungen!$B$5,Einstellungen!$B$3,Einstellungen!$B$4))</f>
        <v/>
      </c>
      <c r="H123" s="6">
        <f>IF(G123="",0,G123)</f>
        <v/>
      </c>
    </row>
    <row r="124">
      <c r="A124" s="11" t="n"/>
      <c r="B124" s="12" t="n"/>
      <c r="C124" s="12" t="n"/>
      <c r="D124" s="12" t="n"/>
      <c r="E124" s="13">
        <f>IF(A124="","",DATE(YEAR(A124),MONTH(A124),1))</f>
        <v/>
      </c>
      <c r="F124" s="5">
        <f>IF(AND(D124="Ja",B124&lt;&gt;""),COUNTIFS($B$5:B124,B124,$D$5:D124,"Ja"),"")</f>
        <v/>
      </c>
      <c r="G124" s="6">
        <f>IF(F124="","",IF(F124&lt;=Einstellungen!$B$5,Einstellungen!$B$3,Einstellungen!$B$4))</f>
        <v/>
      </c>
      <c r="H124" s="6">
        <f>IF(G124="",0,G124)</f>
        <v/>
      </c>
    </row>
    <row r="125">
      <c r="A125" s="11" t="n"/>
      <c r="B125" s="12" t="n"/>
      <c r="C125" s="12" t="n"/>
      <c r="D125" s="12" t="n"/>
      <c r="E125" s="13">
        <f>IF(A125="","",DATE(YEAR(A125),MONTH(A125),1))</f>
        <v/>
      </c>
      <c r="F125" s="5">
        <f>IF(AND(D125="Ja",B125&lt;&gt;""),COUNTIFS($B$5:B125,B125,$D$5:D125,"Ja"),"")</f>
        <v/>
      </c>
      <c r="G125" s="6">
        <f>IF(F125="","",IF(F125&lt;=Einstellungen!$B$5,Einstellungen!$B$3,Einstellungen!$B$4))</f>
        <v/>
      </c>
      <c r="H125" s="6">
        <f>IF(G125="",0,G125)</f>
        <v/>
      </c>
    </row>
    <row r="126">
      <c r="A126" s="11" t="n"/>
      <c r="B126" s="12" t="n"/>
      <c r="C126" s="12" t="n"/>
      <c r="D126" s="12" t="n"/>
      <c r="E126" s="13">
        <f>IF(A126="","",DATE(YEAR(A126),MONTH(A126),1))</f>
        <v/>
      </c>
      <c r="F126" s="5">
        <f>IF(AND(D126="Ja",B126&lt;&gt;""),COUNTIFS($B$5:B126,B126,$D$5:D126,"Ja"),"")</f>
        <v/>
      </c>
      <c r="G126" s="6">
        <f>IF(F126="","",IF(F126&lt;=Einstellungen!$B$5,Einstellungen!$B$3,Einstellungen!$B$4))</f>
        <v/>
      </c>
      <c r="H126" s="6">
        <f>IF(G126="",0,G126)</f>
        <v/>
      </c>
    </row>
    <row r="127">
      <c r="A127" s="11" t="n"/>
      <c r="B127" s="12" t="n"/>
      <c r="C127" s="12" t="n"/>
      <c r="D127" s="12" t="n"/>
      <c r="E127" s="13">
        <f>IF(A127="","",DATE(YEAR(A127),MONTH(A127),1))</f>
        <v/>
      </c>
      <c r="F127" s="5">
        <f>IF(AND(D127="Ja",B127&lt;&gt;""),COUNTIFS($B$5:B127,B127,$D$5:D127,"Ja"),"")</f>
        <v/>
      </c>
      <c r="G127" s="6">
        <f>IF(F127="","",IF(F127&lt;=Einstellungen!$B$5,Einstellungen!$B$3,Einstellungen!$B$4))</f>
        <v/>
      </c>
      <c r="H127" s="6">
        <f>IF(G127="",0,G127)</f>
        <v/>
      </c>
    </row>
    <row r="128">
      <c r="A128" s="11" t="n"/>
      <c r="B128" s="12" t="n"/>
      <c r="C128" s="12" t="n"/>
      <c r="D128" s="12" t="n"/>
      <c r="E128" s="13">
        <f>IF(A128="","",DATE(YEAR(A128),MONTH(A128),1))</f>
        <v/>
      </c>
      <c r="F128" s="5">
        <f>IF(AND(D128="Ja",B128&lt;&gt;""),COUNTIFS($B$5:B128,B128,$D$5:D128,"Ja"),"")</f>
        <v/>
      </c>
      <c r="G128" s="6">
        <f>IF(F128="","",IF(F128&lt;=Einstellungen!$B$5,Einstellungen!$B$3,Einstellungen!$B$4))</f>
        <v/>
      </c>
      <c r="H128" s="6">
        <f>IF(G128="",0,G128)</f>
        <v/>
      </c>
    </row>
    <row r="129">
      <c r="A129" s="11" t="n"/>
      <c r="B129" s="12" t="n"/>
      <c r="C129" s="12" t="n"/>
      <c r="D129" s="12" t="n"/>
      <c r="E129" s="13">
        <f>IF(A129="","",DATE(YEAR(A129),MONTH(A129),1))</f>
        <v/>
      </c>
      <c r="F129" s="5">
        <f>IF(AND(D129="Ja",B129&lt;&gt;""),COUNTIFS($B$5:B129,B129,$D$5:D129,"Ja"),"")</f>
        <v/>
      </c>
      <c r="G129" s="6">
        <f>IF(F129="","",IF(F129&lt;=Einstellungen!$B$5,Einstellungen!$B$3,Einstellungen!$B$4))</f>
        <v/>
      </c>
      <c r="H129" s="6">
        <f>IF(G129="",0,G129)</f>
        <v/>
      </c>
    </row>
    <row r="130">
      <c r="A130" s="11" t="n"/>
      <c r="B130" s="12" t="n"/>
      <c r="C130" s="12" t="n"/>
      <c r="D130" s="12" t="n"/>
      <c r="E130" s="13">
        <f>IF(A130="","",DATE(YEAR(A130),MONTH(A130),1))</f>
        <v/>
      </c>
      <c r="F130" s="5">
        <f>IF(AND(D130="Ja",B130&lt;&gt;""),COUNTIFS($B$5:B130,B130,$D$5:D130,"Ja"),"")</f>
        <v/>
      </c>
      <c r="G130" s="6">
        <f>IF(F130="","",IF(F130&lt;=Einstellungen!$B$5,Einstellungen!$B$3,Einstellungen!$B$4))</f>
        <v/>
      </c>
      <c r="H130" s="6">
        <f>IF(G130="",0,G130)</f>
        <v/>
      </c>
    </row>
    <row r="131">
      <c r="A131" s="11" t="n"/>
      <c r="B131" s="12" t="n"/>
      <c r="C131" s="12" t="n"/>
      <c r="D131" s="12" t="n"/>
      <c r="E131" s="13">
        <f>IF(A131="","",DATE(YEAR(A131),MONTH(A131),1))</f>
        <v/>
      </c>
      <c r="F131" s="5">
        <f>IF(AND(D131="Ja",B131&lt;&gt;""),COUNTIFS($B$5:B131,B131,$D$5:D131,"Ja"),"")</f>
        <v/>
      </c>
      <c r="G131" s="6">
        <f>IF(F131="","",IF(F131&lt;=Einstellungen!$B$5,Einstellungen!$B$3,Einstellungen!$B$4))</f>
        <v/>
      </c>
      <c r="H131" s="6">
        <f>IF(G131="",0,G131)</f>
        <v/>
      </c>
    </row>
    <row r="132">
      <c r="A132" s="11" t="n"/>
      <c r="B132" s="12" t="n"/>
      <c r="C132" s="12" t="n"/>
      <c r="D132" s="12" t="n"/>
      <c r="E132" s="13">
        <f>IF(A132="","",DATE(YEAR(A132),MONTH(A132),1))</f>
        <v/>
      </c>
      <c r="F132" s="5">
        <f>IF(AND(D132="Ja",B132&lt;&gt;""),COUNTIFS($B$5:B132,B132,$D$5:D132,"Ja"),"")</f>
        <v/>
      </c>
      <c r="G132" s="6">
        <f>IF(F132="","",IF(F132&lt;=Einstellungen!$B$5,Einstellungen!$B$3,Einstellungen!$B$4))</f>
        <v/>
      </c>
      <c r="H132" s="6">
        <f>IF(G132="",0,G132)</f>
        <v/>
      </c>
    </row>
    <row r="133">
      <c r="A133" s="11" t="n"/>
      <c r="B133" s="12" t="n"/>
      <c r="C133" s="12" t="n"/>
      <c r="D133" s="12" t="n"/>
      <c r="E133" s="13">
        <f>IF(A133="","",DATE(YEAR(A133),MONTH(A133),1))</f>
        <v/>
      </c>
      <c r="F133" s="5">
        <f>IF(AND(D133="Ja",B133&lt;&gt;""),COUNTIFS($B$5:B133,B133,$D$5:D133,"Ja"),"")</f>
        <v/>
      </c>
      <c r="G133" s="6">
        <f>IF(F133="","",IF(F133&lt;=Einstellungen!$B$5,Einstellungen!$B$3,Einstellungen!$B$4))</f>
        <v/>
      </c>
      <c r="H133" s="6">
        <f>IF(G133="",0,G133)</f>
        <v/>
      </c>
    </row>
    <row r="134">
      <c r="A134" s="11" t="n"/>
      <c r="B134" s="12" t="n"/>
      <c r="C134" s="12" t="n"/>
      <c r="D134" s="12" t="n"/>
      <c r="E134" s="13">
        <f>IF(A134="","",DATE(YEAR(A134),MONTH(A134),1))</f>
        <v/>
      </c>
      <c r="F134" s="5">
        <f>IF(AND(D134="Ja",B134&lt;&gt;""),COUNTIFS($B$5:B134,B134,$D$5:D134,"Ja"),"")</f>
        <v/>
      </c>
      <c r="G134" s="6">
        <f>IF(F134="","",IF(F134&lt;=Einstellungen!$B$5,Einstellungen!$B$3,Einstellungen!$B$4))</f>
        <v/>
      </c>
      <c r="H134" s="6">
        <f>IF(G134="",0,G134)</f>
        <v/>
      </c>
    </row>
    <row r="135">
      <c r="A135" s="11" t="n"/>
      <c r="B135" s="12" t="n"/>
      <c r="C135" s="12" t="n"/>
      <c r="D135" s="12" t="n"/>
      <c r="E135" s="13">
        <f>IF(A135="","",DATE(YEAR(A135),MONTH(A135),1))</f>
        <v/>
      </c>
      <c r="F135" s="5">
        <f>IF(AND(D135="Ja",B135&lt;&gt;""),COUNTIFS($B$5:B135,B135,$D$5:D135,"Ja"),"")</f>
        <v/>
      </c>
      <c r="G135" s="6">
        <f>IF(F135="","",IF(F135&lt;=Einstellungen!$B$5,Einstellungen!$B$3,Einstellungen!$B$4))</f>
        <v/>
      </c>
      <c r="H135" s="6">
        <f>IF(G135="",0,G135)</f>
        <v/>
      </c>
    </row>
    <row r="136">
      <c r="A136" s="11" t="n"/>
      <c r="B136" s="12" t="n"/>
      <c r="C136" s="12" t="n"/>
      <c r="D136" s="12" t="n"/>
      <c r="E136" s="13">
        <f>IF(A136="","",DATE(YEAR(A136),MONTH(A136),1))</f>
        <v/>
      </c>
      <c r="F136" s="5">
        <f>IF(AND(D136="Ja",B136&lt;&gt;""),COUNTIFS($B$5:B136,B136,$D$5:D136,"Ja"),"")</f>
        <v/>
      </c>
      <c r="G136" s="6">
        <f>IF(F136="","",IF(F136&lt;=Einstellungen!$B$5,Einstellungen!$B$3,Einstellungen!$B$4))</f>
        <v/>
      </c>
      <c r="H136" s="6">
        <f>IF(G136="",0,G136)</f>
        <v/>
      </c>
    </row>
    <row r="137">
      <c r="A137" s="11" t="n"/>
      <c r="B137" s="12" t="n"/>
      <c r="C137" s="12" t="n"/>
      <c r="D137" s="12" t="n"/>
      <c r="E137" s="13">
        <f>IF(A137="","",DATE(YEAR(A137),MONTH(A137),1))</f>
        <v/>
      </c>
      <c r="F137" s="5">
        <f>IF(AND(D137="Ja",B137&lt;&gt;""),COUNTIFS($B$5:B137,B137,$D$5:D137,"Ja"),"")</f>
        <v/>
      </c>
      <c r="G137" s="6">
        <f>IF(F137="","",IF(F137&lt;=Einstellungen!$B$5,Einstellungen!$B$3,Einstellungen!$B$4))</f>
        <v/>
      </c>
      <c r="H137" s="6">
        <f>IF(G137="",0,G137)</f>
        <v/>
      </c>
    </row>
    <row r="138">
      <c r="A138" s="11" t="n"/>
      <c r="B138" s="12" t="n"/>
      <c r="C138" s="12" t="n"/>
      <c r="D138" s="12" t="n"/>
      <c r="E138" s="13">
        <f>IF(A138="","",DATE(YEAR(A138),MONTH(A138),1))</f>
        <v/>
      </c>
      <c r="F138" s="5">
        <f>IF(AND(D138="Ja",B138&lt;&gt;""),COUNTIFS($B$5:B138,B138,$D$5:D138,"Ja"),"")</f>
        <v/>
      </c>
      <c r="G138" s="6">
        <f>IF(F138="","",IF(F138&lt;=Einstellungen!$B$5,Einstellungen!$B$3,Einstellungen!$B$4))</f>
        <v/>
      </c>
      <c r="H138" s="6">
        <f>IF(G138="",0,G138)</f>
        <v/>
      </c>
    </row>
    <row r="139">
      <c r="A139" s="11" t="n"/>
      <c r="B139" s="12" t="n"/>
      <c r="C139" s="12" t="n"/>
      <c r="D139" s="12" t="n"/>
      <c r="E139" s="13">
        <f>IF(A139="","",DATE(YEAR(A139),MONTH(A139),1))</f>
        <v/>
      </c>
      <c r="F139" s="5">
        <f>IF(AND(D139="Ja",B139&lt;&gt;""),COUNTIFS($B$5:B139,B139,$D$5:D139,"Ja"),"")</f>
        <v/>
      </c>
      <c r="G139" s="6">
        <f>IF(F139="","",IF(F139&lt;=Einstellungen!$B$5,Einstellungen!$B$3,Einstellungen!$B$4))</f>
        <v/>
      </c>
      <c r="H139" s="6">
        <f>IF(G139="",0,G139)</f>
        <v/>
      </c>
    </row>
    <row r="140">
      <c r="A140" s="11" t="n"/>
      <c r="B140" s="12" t="n"/>
      <c r="C140" s="12" t="n"/>
      <c r="D140" s="12" t="n"/>
      <c r="E140" s="13">
        <f>IF(A140="","",DATE(YEAR(A140),MONTH(A140),1))</f>
        <v/>
      </c>
      <c r="F140" s="5">
        <f>IF(AND(D140="Ja",B140&lt;&gt;""),COUNTIFS($B$5:B140,B140,$D$5:D140,"Ja"),"")</f>
        <v/>
      </c>
      <c r="G140" s="6">
        <f>IF(F140="","",IF(F140&lt;=Einstellungen!$B$5,Einstellungen!$B$3,Einstellungen!$B$4))</f>
        <v/>
      </c>
      <c r="H140" s="6">
        <f>IF(G140="",0,G140)</f>
        <v/>
      </c>
    </row>
    <row r="141">
      <c r="A141" s="11" t="n"/>
      <c r="B141" s="12" t="n"/>
      <c r="C141" s="12" t="n"/>
      <c r="D141" s="12" t="n"/>
      <c r="E141" s="13">
        <f>IF(A141="","",DATE(YEAR(A141),MONTH(A141),1))</f>
        <v/>
      </c>
      <c r="F141" s="5">
        <f>IF(AND(D141="Ja",B141&lt;&gt;""),COUNTIFS($B$5:B141,B141,$D$5:D141,"Ja"),"")</f>
        <v/>
      </c>
      <c r="G141" s="6">
        <f>IF(F141="","",IF(F141&lt;=Einstellungen!$B$5,Einstellungen!$B$3,Einstellungen!$B$4))</f>
        <v/>
      </c>
      <c r="H141" s="6">
        <f>IF(G141="",0,G141)</f>
        <v/>
      </c>
    </row>
    <row r="142">
      <c r="A142" s="11" t="n"/>
      <c r="B142" s="12" t="n"/>
      <c r="C142" s="12" t="n"/>
      <c r="D142" s="12" t="n"/>
      <c r="E142" s="13">
        <f>IF(A142="","",DATE(YEAR(A142),MONTH(A142),1))</f>
        <v/>
      </c>
      <c r="F142" s="5">
        <f>IF(AND(D142="Ja",B142&lt;&gt;""),COUNTIFS($B$5:B142,B142,$D$5:D142,"Ja"),"")</f>
        <v/>
      </c>
      <c r="G142" s="6">
        <f>IF(F142="","",IF(F142&lt;=Einstellungen!$B$5,Einstellungen!$B$3,Einstellungen!$B$4))</f>
        <v/>
      </c>
      <c r="H142" s="6">
        <f>IF(G142="",0,G142)</f>
        <v/>
      </c>
    </row>
    <row r="143">
      <c r="A143" s="11" t="n"/>
      <c r="B143" s="12" t="n"/>
      <c r="C143" s="12" t="n"/>
      <c r="D143" s="12" t="n"/>
      <c r="E143" s="13">
        <f>IF(A143="","",DATE(YEAR(A143),MONTH(A143),1))</f>
        <v/>
      </c>
      <c r="F143" s="5">
        <f>IF(AND(D143="Ja",B143&lt;&gt;""),COUNTIFS($B$5:B143,B143,$D$5:D143,"Ja"),"")</f>
        <v/>
      </c>
      <c r="G143" s="6">
        <f>IF(F143="","",IF(F143&lt;=Einstellungen!$B$5,Einstellungen!$B$3,Einstellungen!$B$4))</f>
        <v/>
      </c>
      <c r="H143" s="6">
        <f>IF(G143="",0,G143)</f>
        <v/>
      </c>
    </row>
    <row r="144">
      <c r="A144" s="11" t="n"/>
      <c r="B144" s="12" t="n"/>
      <c r="C144" s="12" t="n"/>
      <c r="D144" s="12" t="n"/>
      <c r="E144" s="13">
        <f>IF(A144="","",DATE(YEAR(A144),MONTH(A144),1))</f>
        <v/>
      </c>
      <c r="F144" s="5">
        <f>IF(AND(D144="Ja",B144&lt;&gt;""),COUNTIFS($B$5:B144,B144,$D$5:D144,"Ja"),"")</f>
        <v/>
      </c>
      <c r="G144" s="6">
        <f>IF(F144="","",IF(F144&lt;=Einstellungen!$B$5,Einstellungen!$B$3,Einstellungen!$B$4))</f>
        <v/>
      </c>
      <c r="H144" s="6">
        <f>IF(G144="",0,G144)</f>
        <v/>
      </c>
    </row>
    <row r="145">
      <c r="A145" s="11" t="n"/>
      <c r="B145" s="12" t="n"/>
      <c r="C145" s="12" t="n"/>
      <c r="D145" s="12" t="n"/>
      <c r="E145" s="13">
        <f>IF(A145="","",DATE(YEAR(A145),MONTH(A145),1))</f>
        <v/>
      </c>
      <c r="F145" s="5">
        <f>IF(AND(D145="Ja",B145&lt;&gt;""),COUNTIFS($B$5:B145,B145,$D$5:D145,"Ja"),"")</f>
        <v/>
      </c>
      <c r="G145" s="6">
        <f>IF(F145="","",IF(F145&lt;=Einstellungen!$B$5,Einstellungen!$B$3,Einstellungen!$B$4))</f>
        <v/>
      </c>
      <c r="H145" s="6">
        <f>IF(G145="",0,G145)</f>
        <v/>
      </c>
    </row>
    <row r="146">
      <c r="A146" s="11" t="n"/>
      <c r="B146" s="12" t="n"/>
      <c r="C146" s="12" t="n"/>
      <c r="D146" s="12" t="n"/>
      <c r="E146" s="13">
        <f>IF(A146="","",DATE(YEAR(A146),MONTH(A146),1))</f>
        <v/>
      </c>
      <c r="F146" s="5">
        <f>IF(AND(D146="Ja",B146&lt;&gt;""),COUNTIFS($B$5:B146,B146,$D$5:D146,"Ja"),"")</f>
        <v/>
      </c>
      <c r="G146" s="6">
        <f>IF(F146="","",IF(F146&lt;=Einstellungen!$B$5,Einstellungen!$B$3,Einstellungen!$B$4))</f>
        <v/>
      </c>
      <c r="H146" s="6">
        <f>IF(G146="",0,G146)</f>
        <v/>
      </c>
    </row>
    <row r="147">
      <c r="A147" s="11" t="n"/>
      <c r="B147" s="12" t="n"/>
      <c r="C147" s="12" t="n"/>
      <c r="D147" s="12" t="n"/>
      <c r="E147" s="13">
        <f>IF(A147="","",DATE(YEAR(A147),MONTH(A147),1))</f>
        <v/>
      </c>
      <c r="F147" s="5">
        <f>IF(AND(D147="Ja",B147&lt;&gt;""),COUNTIFS($B$5:B147,B147,$D$5:D147,"Ja"),"")</f>
        <v/>
      </c>
      <c r="G147" s="6">
        <f>IF(F147="","",IF(F147&lt;=Einstellungen!$B$5,Einstellungen!$B$3,Einstellungen!$B$4))</f>
        <v/>
      </c>
      <c r="H147" s="6">
        <f>IF(G147="",0,G147)</f>
        <v/>
      </c>
    </row>
    <row r="148">
      <c r="A148" s="11" t="n"/>
      <c r="B148" s="12" t="n"/>
      <c r="C148" s="12" t="n"/>
      <c r="D148" s="12" t="n"/>
      <c r="E148" s="13">
        <f>IF(A148="","",DATE(YEAR(A148),MONTH(A148),1))</f>
        <v/>
      </c>
      <c r="F148" s="5">
        <f>IF(AND(D148="Ja",B148&lt;&gt;""),COUNTIFS($B$5:B148,B148,$D$5:D148,"Ja"),"")</f>
        <v/>
      </c>
      <c r="G148" s="6">
        <f>IF(F148="","",IF(F148&lt;=Einstellungen!$B$5,Einstellungen!$B$3,Einstellungen!$B$4))</f>
        <v/>
      </c>
      <c r="H148" s="6">
        <f>IF(G148="",0,G148)</f>
        <v/>
      </c>
    </row>
    <row r="149">
      <c r="A149" s="11" t="n"/>
      <c r="B149" s="12" t="n"/>
      <c r="C149" s="12" t="n"/>
      <c r="D149" s="12" t="n"/>
      <c r="E149" s="13">
        <f>IF(A149="","",DATE(YEAR(A149),MONTH(A149),1))</f>
        <v/>
      </c>
      <c r="F149" s="5">
        <f>IF(AND(D149="Ja",B149&lt;&gt;""),COUNTIFS($B$5:B149,B149,$D$5:D149,"Ja"),"")</f>
        <v/>
      </c>
      <c r="G149" s="6">
        <f>IF(F149="","",IF(F149&lt;=Einstellungen!$B$5,Einstellungen!$B$3,Einstellungen!$B$4))</f>
        <v/>
      </c>
      <c r="H149" s="6">
        <f>IF(G149="",0,G149)</f>
        <v/>
      </c>
    </row>
    <row r="150">
      <c r="A150" s="11" t="n"/>
      <c r="B150" s="12" t="n"/>
      <c r="C150" s="12" t="n"/>
      <c r="D150" s="12" t="n"/>
      <c r="E150" s="13">
        <f>IF(A150="","",DATE(YEAR(A150),MONTH(A150),1))</f>
        <v/>
      </c>
      <c r="F150" s="5">
        <f>IF(AND(D150="Ja",B150&lt;&gt;""),COUNTIFS($B$5:B150,B150,$D$5:D150,"Ja"),"")</f>
        <v/>
      </c>
      <c r="G150" s="6">
        <f>IF(F150="","",IF(F150&lt;=Einstellungen!$B$5,Einstellungen!$B$3,Einstellungen!$B$4))</f>
        <v/>
      </c>
      <c r="H150" s="6">
        <f>IF(G150="",0,G150)</f>
        <v/>
      </c>
    </row>
    <row r="151">
      <c r="A151" s="11" t="n"/>
      <c r="B151" s="12" t="n"/>
      <c r="C151" s="12" t="n"/>
      <c r="D151" s="12" t="n"/>
      <c r="E151" s="13">
        <f>IF(A151="","",DATE(YEAR(A151),MONTH(A151),1))</f>
        <v/>
      </c>
      <c r="F151" s="5">
        <f>IF(AND(D151="Ja",B151&lt;&gt;""),COUNTIFS($B$5:B151,B151,$D$5:D151,"Ja"),"")</f>
        <v/>
      </c>
      <c r="G151" s="6">
        <f>IF(F151="","",IF(F151&lt;=Einstellungen!$B$5,Einstellungen!$B$3,Einstellungen!$B$4))</f>
        <v/>
      </c>
      <c r="H151" s="6">
        <f>IF(G151="",0,G151)</f>
        <v/>
      </c>
    </row>
    <row r="152">
      <c r="A152" s="11" t="n"/>
      <c r="B152" s="12" t="n"/>
      <c r="C152" s="12" t="n"/>
      <c r="D152" s="12" t="n"/>
      <c r="E152" s="13">
        <f>IF(A152="","",DATE(YEAR(A152),MONTH(A152),1))</f>
        <v/>
      </c>
      <c r="F152" s="5">
        <f>IF(AND(D152="Ja",B152&lt;&gt;""),COUNTIFS($B$5:B152,B152,$D$5:D152,"Ja"),"")</f>
        <v/>
      </c>
      <c r="G152" s="6">
        <f>IF(F152="","",IF(F152&lt;=Einstellungen!$B$5,Einstellungen!$B$3,Einstellungen!$B$4))</f>
        <v/>
      </c>
      <c r="H152" s="6">
        <f>IF(G152="",0,G152)</f>
        <v/>
      </c>
    </row>
    <row r="153">
      <c r="A153" s="11" t="n"/>
      <c r="B153" s="12" t="n"/>
      <c r="C153" s="12" t="n"/>
      <c r="D153" s="12" t="n"/>
      <c r="E153" s="13">
        <f>IF(A153="","",DATE(YEAR(A153),MONTH(A153),1))</f>
        <v/>
      </c>
      <c r="F153" s="5">
        <f>IF(AND(D153="Ja",B153&lt;&gt;""),COUNTIFS($B$5:B153,B153,$D$5:D153,"Ja"),"")</f>
        <v/>
      </c>
      <c r="G153" s="6">
        <f>IF(F153="","",IF(F153&lt;=Einstellungen!$B$5,Einstellungen!$B$3,Einstellungen!$B$4))</f>
        <v/>
      </c>
      <c r="H153" s="6">
        <f>IF(G153="",0,G153)</f>
        <v/>
      </c>
    </row>
    <row r="154">
      <c r="A154" s="11" t="n"/>
      <c r="B154" s="12" t="n"/>
      <c r="C154" s="12" t="n"/>
      <c r="D154" s="12" t="n"/>
      <c r="E154" s="13">
        <f>IF(A154="","",DATE(YEAR(A154),MONTH(A154),1))</f>
        <v/>
      </c>
      <c r="F154" s="5">
        <f>IF(AND(D154="Ja",B154&lt;&gt;""),COUNTIFS($B$5:B154,B154,$D$5:D154,"Ja"),"")</f>
        <v/>
      </c>
      <c r="G154" s="6">
        <f>IF(F154="","",IF(F154&lt;=Einstellungen!$B$5,Einstellungen!$B$3,Einstellungen!$B$4))</f>
        <v/>
      </c>
      <c r="H154" s="6">
        <f>IF(G154="",0,G154)</f>
        <v/>
      </c>
    </row>
    <row r="155">
      <c r="A155" s="11" t="n"/>
      <c r="B155" s="12" t="n"/>
      <c r="C155" s="12" t="n"/>
      <c r="D155" s="12" t="n"/>
      <c r="E155" s="13">
        <f>IF(A155="","",DATE(YEAR(A155),MONTH(A155),1))</f>
        <v/>
      </c>
      <c r="F155" s="5">
        <f>IF(AND(D155="Ja",B155&lt;&gt;""),COUNTIFS($B$5:B155,B155,$D$5:D155,"Ja"),"")</f>
        <v/>
      </c>
      <c r="G155" s="6">
        <f>IF(F155="","",IF(F155&lt;=Einstellungen!$B$5,Einstellungen!$B$3,Einstellungen!$B$4))</f>
        <v/>
      </c>
      <c r="H155" s="6">
        <f>IF(G155="",0,G155)</f>
        <v/>
      </c>
    </row>
    <row r="156">
      <c r="A156" s="11" t="n"/>
      <c r="B156" s="12" t="n"/>
      <c r="C156" s="12" t="n"/>
      <c r="D156" s="12" t="n"/>
      <c r="E156" s="13">
        <f>IF(A156="","",DATE(YEAR(A156),MONTH(A156),1))</f>
        <v/>
      </c>
      <c r="F156" s="5">
        <f>IF(AND(D156="Ja",B156&lt;&gt;""),COUNTIFS($B$5:B156,B156,$D$5:D156,"Ja"),"")</f>
        <v/>
      </c>
      <c r="G156" s="6">
        <f>IF(F156="","",IF(F156&lt;=Einstellungen!$B$5,Einstellungen!$B$3,Einstellungen!$B$4))</f>
        <v/>
      </c>
      <c r="H156" s="6">
        <f>IF(G156="",0,G156)</f>
        <v/>
      </c>
    </row>
    <row r="157">
      <c r="A157" s="11" t="n"/>
      <c r="B157" s="12" t="n"/>
      <c r="C157" s="12" t="n"/>
      <c r="D157" s="12" t="n"/>
      <c r="E157" s="13">
        <f>IF(A157="","",DATE(YEAR(A157),MONTH(A157),1))</f>
        <v/>
      </c>
      <c r="F157" s="5">
        <f>IF(AND(D157="Ja",B157&lt;&gt;""),COUNTIFS($B$5:B157,B157,$D$5:D157,"Ja"),"")</f>
        <v/>
      </c>
      <c r="G157" s="6">
        <f>IF(F157="","",IF(F157&lt;=Einstellungen!$B$5,Einstellungen!$B$3,Einstellungen!$B$4))</f>
        <v/>
      </c>
      <c r="H157" s="6">
        <f>IF(G157="",0,G157)</f>
        <v/>
      </c>
    </row>
    <row r="158">
      <c r="A158" s="11" t="n"/>
      <c r="B158" s="12" t="n"/>
      <c r="C158" s="12" t="n"/>
      <c r="D158" s="12" t="n"/>
      <c r="E158" s="13">
        <f>IF(A158="","",DATE(YEAR(A158),MONTH(A158),1))</f>
        <v/>
      </c>
      <c r="F158" s="5">
        <f>IF(AND(D158="Ja",B158&lt;&gt;""),COUNTIFS($B$5:B158,B158,$D$5:D158,"Ja"),"")</f>
        <v/>
      </c>
      <c r="G158" s="6">
        <f>IF(F158="","",IF(F158&lt;=Einstellungen!$B$5,Einstellungen!$B$3,Einstellungen!$B$4))</f>
        <v/>
      </c>
      <c r="H158" s="6">
        <f>IF(G158="",0,G158)</f>
        <v/>
      </c>
    </row>
    <row r="159">
      <c r="A159" s="11" t="n"/>
      <c r="B159" s="12" t="n"/>
      <c r="C159" s="12" t="n"/>
      <c r="D159" s="12" t="n"/>
      <c r="E159" s="13">
        <f>IF(A159="","",DATE(YEAR(A159),MONTH(A159),1))</f>
        <v/>
      </c>
      <c r="F159" s="5">
        <f>IF(AND(D159="Ja",B159&lt;&gt;""),COUNTIFS($B$5:B159,B159,$D$5:D159,"Ja"),"")</f>
        <v/>
      </c>
      <c r="G159" s="6">
        <f>IF(F159="","",IF(F159&lt;=Einstellungen!$B$5,Einstellungen!$B$3,Einstellungen!$B$4))</f>
        <v/>
      </c>
      <c r="H159" s="6">
        <f>IF(G159="",0,G159)</f>
        <v/>
      </c>
    </row>
    <row r="160">
      <c r="A160" s="11" t="n"/>
      <c r="B160" s="12" t="n"/>
      <c r="C160" s="12" t="n"/>
      <c r="D160" s="12" t="n"/>
      <c r="E160" s="13">
        <f>IF(A160="","",DATE(YEAR(A160),MONTH(A160),1))</f>
        <v/>
      </c>
      <c r="F160" s="5">
        <f>IF(AND(D160="Ja",B160&lt;&gt;""),COUNTIFS($B$5:B160,B160,$D$5:D160,"Ja"),"")</f>
        <v/>
      </c>
      <c r="G160" s="6">
        <f>IF(F160="","",IF(F160&lt;=Einstellungen!$B$5,Einstellungen!$B$3,Einstellungen!$B$4))</f>
        <v/>
      </c>
      <c r="H160" s="6">
        <f>IF(G160="",0,G160)</f>
        <v/>
      </c>
    </row>
    <row r="161">
      <c r="A161" s="11" t="n"/>
      <c r="B161" s="12" t="n"/>
      <c r="C161" s="12" t="n"/>
      <c r="D161" s="12" t="n"/>
      <c r="E161" s="13">
        <f>IF(A161="","",DATE(YEAR(A161),MONTH(A161),1))</f>
        <v/>
      </c>
      <c r="F161" s="5">
        <f>IF(AND(D161="Ja",B161&lt;&gt;""),COUNTIFS($B$5:B161,B161,$D$5:D161,"Ja"),"")</f>
        <v/>
      </c>
      <c r="G161" s="6">
        <f>IF(F161="","",IF(F161&lt;=Einstellungen!$B$5,Einstellungen!$B$3,Einstellungen!$B$4))</f>
        <v/>
      </c>
      <c r="H161" s="6">
        <f>IF(G161="",0,G161)</f>
        <v/>
      </c>
    </row>
    <row r="162">
      <c r="A162" s="11" t="n"/>
      <c r="B162" s="12" t="n"/>
      <c r="C162" s="12" t="n"/>
      <c r="D162" s="12" t="n"/>
      <c r="E162" s="13">
        <f>IF(A162="","",DATE(YEAR(A162),MONTH(A162),1))</f>
        <v/>
      </c>
      <c r="F162" s="5">
        <f>IF(AND(D162="Ja",B162&lt;&gt;""),COUNTIFS($B$5:B162,B162,$D$5:D162,"Ja"),"")</f>
        <v/>
      </c>
      <c r="G162" s="6">
        <f>IF(F162="","",IF(F162&lt;=Einstellungen!$B$5,Einstellungen!$B$3,Einstellungen!$B$4))</f>
        <v/>
      </c>
      <c r="H162" s="6">
        <f>IF(G162="",0,G162)</f>
        <v/>
      </c>
    </row>
    <row r="163">
      <c r="A163" s="11" t="n"/>
      <c r="B163" s="12" t="n"/>
      <c r="C163" s="12" t="n"/>
      <c r="D163" s="12" t="n"/>
      <c r="E163" s="13">
        <f>IF(A163="","",DATE(YEAR(A163),MONTH(A163),1))</f>
        <v/>
      </c>
      <c r="F163" s="5">
        <f>IF(AND(D163="Ja",B163&lt;&gt;""),COUNTIFS($B$5:B163,B163,$D$5:D163,"Ja"),"")</f>
        <v/>
      </c>
      <c r="G163" s="6">
        <f>IF(F163="","",IF(F163&lt;=Einstellungen!$B$5,Einstellungen!$B$3,Einstellungen!$B$4))</f>
        <v/>
      </c>
      <c r="H163" s="6">
        <f>IF(G163="",0,G163)</f>
        <v/>
      </c>
    </row>
    <row r="164">
      <c r="A164" s="11" t="n"/>
      <c r="B164" s="12" t="n"/>
      <c r="C164" s="12" t="n"/>
      <c r="D164" s="12" t="n"/>
      <c r="E164" s="13">
        <f>IF(A164="","",DATE(YEAR(A164),MONTH(A164),1))</f>
        <v/>
      </c>
      <c r="F164" s="5">
        <f>IF(AND(D164="Ja",B164&lt;&gt;""),COUNTIFS($B$5:B164,B164,$D$5:D164,"Ja"),"")</f>
        <v/>
      </c>
      <c r="G164" s="6">
        <f>IF(F164="","",IF(F164&lt;=Einstellungen!$B$5,Einstellungen!$B$3,Einstellungen!$B$4))</f>
        <v/>
      </c>
      <c r="H164" s="6">
        <f>IF(G164="",0,G164)</f>
        <v/>
      </c>
    </row>
    <row r="165">
      <c r="A165" s="11" t="n"/>
      <c r="B165" s="12" t="n"/>
      <c r="C165" s="12" t="n"/>
      <c r="D165" s="12" t="n"/>
      <c r="E165" s="13">
        <f>IF(A165="","",DATE(YEAR(A165),MONTH(A165),1))</f>
        <v/>
      </c>
      <c r="F165" s="5">
        <f>IF(AND(D165="Ja",B165&lt;&gt;""),COUNTIFS($B$5:B165,B165,$D$5:D165,"Ja"),"")</f>
        <v/>
      </c>
      <c r="G165" s="6">
        <f>IF(F165="","",IF(F165&lt;=Einstellungen!$B$5,Einstellungen!$B$3,Einstellungen!$B$4))</f>
        <v/>
      </c>
      <c r="H165" s="6">
        <f>IF(G165="",0,G165)</f>
        <v/>
      </c>
    </row>
    <row r="166">
      <c r="A166" s="11" t="n"/>
      <c r="B166" s="12" t="n"/>
      <c r="C166" s="12" t="n"/>
      <c r="D166" s="12" t="n"/>
      <c r="E166" s="13">
        <f>IF(A166="","",DATE(YEAR(A166),MONTH(A166),1))</f>
        <v/>
      </c>
      <c r="F166" s="5">
        <f>IF(AND(D166="Ja",B166&lt;&gt;""),COUNTIFS($B$5:B166,B166,$D$5:D166,"Ja"),"")</f>
        <v/>
      </c>
      <c r="G166" s="6">
        <f>IF(F166="","",IF(F166&lt;=Einstellungen!$B$5,Einstellungen!$B$3,Einstellungen!$B$4))</f>
        <v/>
      </c>
      <c r="H166" s="6">
        <f>IF(G166="",0,G166)</f>
        <v/>
      </c>
    </row>
    <row r="167">
      <c r="A167" s="11" t="n"/>
      <c r="B167" s="12" t="n"/>
      <c r="C167" s="12" t="n"/>
      <c r="D167" s="12" t="n"/>
      <c r="E167" s="13">
        <f>IF(A167="","",DATE(YEAR(A167),MONTH(A167),1))</f>
        <v/>
      </c>
      <c r="F167" s="5">
        <f>IF(AND(D167="Ja",B167&lt;&gt;""),COUNTIFS($B$5:B167,B167,$D$5:D167,"Ja"),"")</f>
        <v/>
      </c>
      <c r="G167" s="6">
        <f>IF(F167="","",IF(F167&lt;=Einstellungen!$B$5,Einstellungen!$B$3,Einstellungen!$B$4))</f>
        <v/>
      </c>
      <c r="H167" s="6">
        <f>IF(G167="",0,G167)</f>
        <v/>
      </c>
    </row>
    <row r="168">
      <c r="A168" s="11" t="n"/>
      <c r="B168" s="12" t="n"/>
      <c r="C168" s="12" t="n"/>
      <c r="D168" s="12" t="n"/>
      <c r="E168" s="13">
        <f>IF(A168="","",DATE(YEAR(A168),MONTH(A168),1))</f>
        <v/>
      </c>
      <c r="F168" s="5">
        <f>IF(AND(D168="Ja",B168&lt;&gt;""),COUNTIFS($B$5:B168,B168,$D$5:D168,"Ja"),"")</f>
        <v/>
      </c>
      <c r="G168" s="6">
        <f>IF(F168="","",IF(F168&lt;=Einstellungen!$B$5,Einstellungen!$B$3,Einstellungen!$B$4))</f>
        <v/>
      </c>
      <c r="H168" s="6">
        <f>IF(G168="",0,G168)</f>
        <v/>
      </c>
    </row>
    <row r="169">
      <c r="A169" s="11" t="n"/>
      <c r="B169" s="12" t="n"/>
      <c r="C169" s="12" t="n"/>
      <c r="D169" s="12" t="n"/>
      <c r="E169" s="13">
        <f>IF(A169="","",DATE(YEAR(A169),MONTH(A169),1))</f>
        <v/>
      </c>
      <c r="F169" s="5">
        <f>IF(AND(D169="Ja",B169&lt;&gt;""),COUNTIFS($B$5:B169,B169,$D$5:D169,"Ja"),"")</f>
        <v/>
      </c>
      <c r="G169" s="6">
        <f>IF(F169="","",IF(F169&lt;=Einstellungen!$B$5,Einstellungen!$B$3,Einstellungen!$B$4))</f>
        <v/>
      </c>
      <c r="H169" s="6">
        <f>IF(G169="",0,G169)</f>
        <v/>
      </c>
    </row>
    <row r="170">
      <c r="A170" s="11" t="n"/>
      <c r="B170" s="12" t="n"/>
      <c r="C170" s="12" t="n"/>
      <c r="D170" s="12" t="n"/>
      <c r="E170" s="13">
        <f>IF(A170="","",DATE(YEAR(A170),MONTH(A170),1))</f>
        <v/>
      </c>
      <c r="F170" s="5">
        <f>IF(AND(D170="Ja",B170&lt;&gt;""),COUNTIFS($B$5:B170,B170,$D$5:D170,"Ja"),"")</f>
        <v/>
      </c>
      <c r="G170" s="6">
        <f>IF(F170="","",IF(F170&lt;=Einstellungen!$B$5,Einstellungen!$B$3,Einstellungen!$B$4))</f>
        <v/>
      </c>
      <c r="H170" s="6">
        <f>IF(G170="",0,G170)</f>
        <v/>
      </c>
    </row>
    <row r="171">
      <c r="A171" s="11" t="n"/>
      <c r="B171" s="12" t="n"/>
      <c r="C171" s="12" t="n"/>
      <c r="D171" s="12" t="n"/>
      <c r="E171" s="13">
        <f>IF(A171="","",DATE(YEAR(A171),MONTH(A171),1))</f>
        <v/>
      </c>
      <c r="F171" s="5">
        <f>IF(AND(D171="Ja",B171&lt;&gt;""),COUNTIFS($B$5:B171,B171,$D$5:D171,"Ja"),"")</f>
        <v/>
      </c>
      <c r="G171" s="6">
        <f>IF(F171="","",IF(F171&lt;=Einstellungen!$B$5,Einstellungen!$B$3,Einstellungen!$B$4))</f>
        <v/>
      </c>
      <c r="H171" s="6">
        <f>IF(G171="",0,G171)</f>
        <v/>
      </c>
    </row>
    <row r="172">
      <c r="A172" s="11" t="n"/>
      <c r="B172" s="12" t="n"/>
      <c r="C172" s="12" t="n"/>
      <c r="D172" s="12" t="n"/>
      <c r="E172" s="13">
        <f>IF(A172="","",DATE(YEAR(A172),MONTH(A172),1))</f>
        <v/>
      </c>
      <c r="F172" s="5">
        <f>IF(AND(D172="Ja",B172&lt;&gt;""),COUNTIFS($B$5:B172,B172,$D$5:D172,"Ja"),"")</f>
        <v/>
      </c>
      <c r="G172" s="6">
        <f>IF(F172="","",IF(F172&lt;=Einstellungen!$B$5,Einstellungen!$B$3,Einstellungen!$B$4))</f>
        <v/>
      </c>
      <c r="H172" s="6">
        <f>IF(G172="",0,G172)</f>
        <v/>
      </c>
    </row>
    <row r="173">
      <c r="A173" s="11" t="n"/>
      <c r="B173" s="12" t="n"/>
      <c r="C173" s="12" t="n"/>
      <c r="D173" s="12" t="n"/>
      <c r="E173" s="13">
        <f>IF(A173="","",DATE(YEAR(A173),MONTH(A173),1))</f>
        <v/>
      </c>
      <c r="F173" s="5">
        <f>IF(AND(D173="Ja",B173&lt;&gt;""),COUNTIFS($B$5:B173,B173,$D$5:D173,"Ja"),"")</f>
        <v/>
      </c>
      <c r="G173" s="6">
        <f>IF(F173="","",IF(F173&lt;=Einstellungen!$B$5,Einstellungen!$B$3,Einstellungen!$B$4))</f>
        <v/>
      </c>
      <c r="H173" s="6">
        <f>IF(G173="",0,G173)</f>
        <v/>
      </c>
    </row>
    <row r="174">
      <c r="A174" s="11" t="n"/>
      <c r="B174" s="12" t="n"/>
      <c r="C174" s="12" t="n"/>
      <c r="D174" s="12" t="n"/>
      <c r="E174" s="13">
        <f>IF(A174="","",DATE(YEAR(A174),MONTH(A174),1))</f>
        <v/>
      </c>
      <c r="F174" s="5">
        <f>IF(AND(D174="Ja",B174&lt;&gt;""),COUNTIFS($B$5:B174,B174,$D$5:D174,"Ja"),"")</f>
        <v/>
      </c>
      <c r="G174" s="6">
        <f>IF(F174="","",IF(F174&lt;=Einstellungen!$B$5,Einstellungen!$B$3,Einstellungen!$B$4))</f>
        <v/>
      </c>
      <c r="H174" s="6">
        <f>IF(G174="",0,G174)</f>
        <v/>
      </c>
    </row>
    <row r="175">
      <c r="A175" s="11" t="n"/>
      <c r="B175" s="12" t="n"/>
      <c r="C175" s="12" t="n"/>
      <c r="D175" s="12" t="n"/>
      <c r="E175" s="13">
        <f>IF(A175="","",DATE(YEAR(A175),MONTH(A175),1))</f>
        <v/>
      </c>
      <c r="F175" s="5">
        <f>IF(AND(D175="Ja",B175&lt;&gt;""),COUNTIFS($B$5:B175,B175,$D$5:D175,"Ja"),"")</f>
        <v/>
      </c>
      <c r="G175" s="6">
        <f>IF(F175="","",IF(F175&lt;=Einstellungen!$B$5,Einstellungen!$B$3,Einstellungen!$B$4))</f>
        <v/>
      </c>
      <c r="H175" s="6">
        <f>IF(G175="",0,G175)</f>
        <v/>
      </c>
    </row>
    <row r="176">
      <c r="A176" s="11" t="n"/>
      <c r="B176" s="12" t="n"/>
      <c r="C176" s="12" t="n"/>
      <c r="D176" s="12" t="n"/>
      <c r="E176" s="13">
        <f>IF(A176="","",DATE(YEAR(A176),MONTH(A176),1))</f>
        <v/>
      </c>
      <c r="F176" s="5">
        <f>IF(AND(D176="Ja",B176&lt;&gt;""),COUNTIFS($B$5:B176,B176,$D$5:D176,"Ja"),"")</f>
        <v/>
      </c>
      <c r="G176" s="6">
        <f>IF(F176="","",IF(F176&lt;=Einstellungen!$B$5,Einstellungen!$B$3,Einstellungen!$B$4))</f>
        <v/>
      </c>
      <c r="H176" s="6">
        <f>IF(G176="",0,G176)</f>
        <v/>
      </c>
    </row>
    <row r="177">
      <c r="A177" s="11" t="n"/>
      <c r="B177" s="12" t="n"/>
      <c r="C177" s="12" t="n"/>
      <c r="D177" s="12" t="n"/>
      <c r="E177" s="13">
        <f>IF(A177="","",DATE(YEAR(A177),MONTH(A177),1))</f>
        <v/>
      </c>
      <c r="F177" s="5">
        <f>IF(AND(D177="Ja",B177&lt;&gt;""),COUNTIFS($B$5:B177,B177,$D$5:D177,"Ja"),"")</f>
        <v/>
      </c>
      <c r="G177" s="6">
        <f>IF(F177="","",IF(F177&lt;=Einstellungen!$B$5,Einstellungen!$B$3,Einstellungen!$B$4))</f>
        <v/>
      </c>
      <c r="H177" s="6">
        <f>IF(G177="",0,G177)</f>
        <v/>
      </c>
    </row>
    <row r="178">
      <c r="A178" s="11" t="n"/>
      <c r="B178" s="12" t="n"/>
      <c r="C178" s="12" t="n"/>
      <c r="D178" s="12" t="n"/>
      <c r="E178" s="13">
        <f>IF(A178="","",DATE(YEAR(A178),MONTH(A178),1))</f>
        <v/>
      </c>
      <c r="F178" s="5">
        <f>IF(AND(D178="Ja",B178&lt;&gt;""),COUNTIFS($B$5:B178,B178,$D$5:D178,"Ja"),"")</f>
        <v/>
      </c>
      <c r="G178" s="6">
        <f>IF(F178="","",IF(F178&lt;=Einstellungen!$B$5,Einstellungen!$B$3,Einstellungen!$B$4))</f>
        <v/>
      </c>
      <c r="H178" s="6">
        <f>IF(G178="",0,G178)</f>
        <v/>
      </c>
    </row>
    <row r="179">
      <c r="A179" s="11" t="n"/>
      <c r="B179" s="12" t="n"/>
      <c r="C179" s="12" t="n"/>
      <c r="D179" s="12" t="n"/>
      <c r="E179" s="13">
        <f>IF(A179="","",DATE(YEAR(A179),MONTH(A179),1))</f>
        <v/>
      </c>
      <c r="F179" s="5">
        <f>IF(AND(D179="Ja",B179&lt;&gt;""),COUNTIFS($B$5:B179,B179,$D$5:D179,"Ja"),"")</f>
        <v/>
      </c>
      <c r="G179" s="6">
        <f>IF(F179="","",IF(F179&lt;=Einstellungen!$B$5,Einstellungen!$B$3,Einstellungen!$B$4))</f>
        <v/>
      </c>
      <c r="H179" s="6">
        <f>IF(G179="",0,G179)</f>
        <v/>
      </c>
    </row>
    <row r="180">
      <c r="A180" s="11" t="n"/>
      <c r="B180" s="12" t="n"/>
      <c r="C180" s="12" t="n"/>
      <c r="D180" s="12" t="n"/>
      <c r="E180" s="13">
        <f>IF(A180="","",DATE(YEAR(A180),MONTH(A180),1))</f>
        <v/>
      </c>
      <c r="F180" s="5">
        <f>IF(AND(D180="Ja",B180&lt;&gt;""),COUNTIFS($B$5:B180,B180,$D$5:D180,"Ja"),"")</f>
        <v/>
      </c>
      <c r="G180" s="6">
        <f>IF(F180="","",IF(F180&lt;=Einstellungen!$B$5,Einstellungen!$B$3,Einstellungen!$B$4))</f>
        <v/>
      </c>
      <c r="H180" s="6">
        <f>IF(G180="",0,G180)</f>
        <v/>
      </c>
    </row>
    <row r="181">
      <c r="A181" s="11" t="n"/>
      <c r="B181" s="12" t="n"/>
      <c r="C181" s="12" t="n"/>
      <c r="D181" s="12" t="n"/>
      <c r="E181" s="13">
        <f>IF(A181="","",DATE(YEAR(A181),MONTH(A181),1))</f>
        <v/>
      </c>
      <c r="F181" s="5">
        <f>IF(AND(D181="Ja",B181&lt;&gt;""),COUNTIFS($B$5:B181,B181,$D$5:D181,"Ja"),"")</f>
        <v/>
      </c>
      <c r="G181" s="6">
        <f>IF(F181="","",IF(F181&lt;=Einstellungen!$B$5,Einstellungen!$B$3,Einstellungen!$B$4))</f>
        <v/>
      </c>
      <c r="H181" s="6">
        <f>IF(G181="",0,G181)</f>
        <v/>
      </c>
    </row>
    <row r="182">
      <c r="A182" s="11" t="n"/>
      <c r="B182" s="12" t="n"/>
      <c r="C182" s="12" t="n"/>
      <c r="D182" s="12" t="n"/>
      <c r="E182" s="13">
        <f>IF(A182="","",DATE(YEAR(A182),MONTH(A182),1))</f>
        <v/>
      </c>
      <c r="F182" s="5">
        <f>IF(AND(D182="Ja",B182&lt;&gt;""),COUNTIFS($B$5:B182,B182,$D$5:D182,"Ja"),"")</f>
        <v/>
      </c>
      <c r="G182" s="6">
        <f>IF(F182="","",IF(F182&lt;=Einstellungen!$B$5,Einstellungen!$B$3,Einstellungen!$B$4))</f>
        <v/>
      </c>
      <c r="H182" s="6">
        <f>IF(G182="",0,G182)</f>
        <v/>
      </c>
    </row>
    <row r="183">
      <c r="A183" s="11" t="n"/>
      <c r="B183" s="12" t="n"/>
      <c r="C183" s="12" t="n"/>
      <c r="D183" s="12" t="n"/>
      <c r="E183" s="13">
        <f>IF(A183="","",DATE(YEAR(A183),MONTH(A183),1))</f>
        <v/>
      </c>
      <c r="F183" s="5">
        <f>IF(AND(D183="Ja",B183&lt;&gt;""),COUNTIFS($B$5:B183,B183,$D$5:D183,"Ja"),"")</f>
        <v/>
      </c>
      <c r="G183" s="6">
        <f>IF(F183="","",IF(F183&lt;=Einstellungen!$B$5,Einstellungen!$B$3,Einstellungen!$B$4))</f>
        <v/>
      </c>
      <c r="H183" s="6">
        <f>IF(G183="",0,G183)</f>
        <v/>
      </c>
    </row>
    <row r="184">
      <c r="A184" s="11" t="n"/>
      <c r="B184" s="12" t="n"/>
      <c r="C184" s="12" t="n"/>
      <c r="D184" s="12" t="n"/>
      <c r="E184" s="13">
        <f>IF(A184="","",DATE(YEAR(A184),MONTH(A184),1))</f>
        <v/>
      </c>
      <c r="F184" s="5">
        <f>IF(AND(D184="Ja",B184&lt;&gt;""),COUNTIFS($B$5:B184,B184,$D$5:D184,"Ja"),"")</f>
        <v/>
      </c>
      <c r="G184" s="6">
        <f>IF(F184="","",IF(F184&lt;=Einstellungen!$B$5,Einstellungen!$B$3,Einstellungen!$B$4))</f>
        <v/>
      </c>
      <c r="H184" s="6">
        <f>IF(G184="",0,G184)</f>
        <v/>
      </c>
    </row>
    <row r="185">
      <c r="A185" s="11" t="n"/>
      <c r="B185" s="12" t="n"/>
      <c r="C185" s="12" t="n"/>
      <c r="D185" s="12" t="n"/>
      <c r="E185" s="13">
        <f>IF(A185="","",DATE(YEAR(A185),MONTH(A185),1))</f>
        <v/>
      </c>
      <c r="F185" s="5">
        <f>IF(AND(D185="Ja",B185&lt;&gt;""),COUNTIFS($B$5:B185,B185,$D$5:D185,"Ja"),"")</f>
        <v/>
      </c>
      <c r="G185" s="6">
        <f>IF(F185="","",IF(F185&lt;=Einstellungen!$B$5,Einstellungen!$B$3,Einstellungen!$B$4))</f>
        <v/>
      </c>
      <c r="H185" s="6">
        <f>IF(G185="",0,G185)</f>
        <v/>
      </c>
    </row>
    <row r="186">
      <c r="A186" s="11" t="n"/>
      <c r="B186" s="12" t="n"/>
      <c r="C186" s="12" t="n"/>
      <c r="D186" s="12" t="n"/>
      <c r="E186" s="13">
        <f>IF(A186="","",DATE(YEAR(A186),MONTH(A186),1))</f>
        <v/>
      </c>
      <c r="F186" s="5">
        <f>IF(AND(D186="Ja",B186&lt;&gt;""),COUNTIFS($B$5:B186,B186,$D$5:D186,"Ja"),"")</f>
        <v/>
      </c>
      <c r="G186" s="6">
        <f>IF(F186="","",IF(F186&lt;=Einstellungen!$B$5,Einstellungen!$B$3,Einstellungen!$B$4))</f>
        <v/>
      </c>
      <c r="H186" s="6">
        <f>IF(G186="",0,G186)</f>
        <v/>
      </c>
    </row>
    <row r="187">
      <c r="A187" s="11" t="n"/>
      <c r="B187" s="12" t="n"/>
      <c r="C187" s="12" t="n"/>
      <c r="D187" s="12" t="n"/>
      <c r="E187" s="13">
        <f>IF(A187="","",DATE(YEAR(A187),MONTH(A187),1))</f>
        <v/>
      </c>
      <c r="F187" s="5">
        <f>IF(AND(D187="Ja",B187&lt;&gt;""),COUNTIFS($B$5:B187,B187,$D$5:D187,"Ja"),"")</f>
        <v/>
      </c>
      <c r="G187" s="6">
        <f>IF(F187="","",IF(F187&lt;=Einstellungen!$B$5,Einstellungen!$B$3,Einstellungen!$B$4))</f>
        <v/>
      </c>
      <c r="H187" s="6">
        <f>IF(G187="",0,G187)</f>
        <v/>
      </c>
    </row>
    <row r="188">
      <c r="A188" s="11" t="n"/>
      <c r="B188" s="12" t="n"/>
      <c r="C188" s="12" t="n"/>
      <c r="D188" s="12" t="n"/>
      <c r="E188" s="13">
        <f>IF(A188="","",DATE(YEAR(A188),MONTH(A188),1))</f>
        <v/>
      </c>
      <c r="F188" s="5">
        <f>IF(AND(D188="Ja",B188&lt;&gt;""),COUNTIFS($B$5:B188,B188,$D$5:D188,"Ja"),"")</f>
        <v/>
      </c>
      <c r="G188" s="6">
        <f>IF(F188="","",IF(F188&lt;=Einstellungen!$B$5,Einstellungen!$B$3,Einstellungen!$B$4))</f>
        <v/>
      </c>
      <c r="H188" s="6">
        <f>IF(G188="",0,G188)</f>
        <v/>
      </c>
    </row>
    <row r="189">
      <c r="A189" s="11" t="n"/>
      <c r="B189" s="12" t="n"/>
      <c r="C189" s="12" t="n"/>
      <c r="D189" s="12" t="n"/>
      <c r="E189" s="13">
        <f>IF(A189="","",DATE(YEAR(A189),MONTH(A189),1))</f>
        <v/>
      </c>
      <c r="F189" s="5">
        <f>IF(AND(D189="Ja",B189&lt;&gt;""),COUNTIFS($B$5:B189,B189,$D$5:D189,"Ja"),"")</f>
        <v/>
      </c>
      <c r="G189" s="6">
        <f>IF(F189="","",IF(F189&lt;=Einstellungen!$B$5,Einstellungen!$B$3,Einstellungen!$B$4))</f>
        <v/>
      </c>
      <c r="H189" s="6">
        <f>IF(G189="",0,G189)</f>
        <v/>
      </c>
    </row>
    <row r="190">
      <c r="A190" s="11" t="n"/>
      <c r="B190" s="12" t="n"/>
      <c r="C190" s="12" t="n"/>
      <c r="D190" s="12" t="n"/>
      <c r="E190" s="13">
        <f>IF(A190="","",DATE(YEAR(A190),MONTH(A190),1))</f>
        <v/>
      </c>
      <c r="F190" s="5">
        <f>IF(AND(D190="Ja",B190&lt;&gt;""),COUNTIFS($B$5:B190,B190,$D$5:D190,"Ja"),"")</f>
        <v/>
      </c>
      <c r="G190" s="6">
        <f>IF(F190="","",IF(F190&lt;=Einstellungen!$B$5,Einstellungen!$B$3,Einstellungen!$B$4))</f>
        <v/>
      </c>
      <c r="H190" s="6">
        <f>IF(G190="",0,G190)</f>
        <v/>
      </c>
    </row>
    <row r="191">
      <c r="A191" s="11" t="n"/>
      <c r="B191" s="12" t="n"/>
      <c r="C191" s="12" t="n"/>
      <c r="D191" s="12" t="n"/>
      <c r="E191" s="13">
        <f>IF(A191="","",DATE(YEAR(A191),MONTH(A191),1))</f>
        <v/>
      </c>
      <c r="F191" s="5">
        <f>IF(AND(D191="Ja",B191&lt;&gt;""),COUNTIFS($B$5:B191,B191,$D$5:D191,"Ja"),"")</f>
        <v/>
      </c>
      <c r="G191" s="6">
        <f>IF(F191="","",IF(F191&lt;=Einstellungen!$B$5,Einstellungen!$B$3,Einstellungen!$B$4))</f>
        <v/>
      </c>
      <c r="H191" s="6">
        <f>IF(G191="",0,G191)</f>
        <v/>
      </c>
    </row>
    <row r="192">
      <c r="A192" s="11" t="n"/>
      <c r="B192" s="12" t="n"/>
      <c r="C192" s="12" t="n"/>
      <c r="D192" s="12" t="n"/>
      <c r="E192" s="13">
        <f>IF(A192="","",DATE(YEAR(A192),MONTH(A192),1))</f>
        <v/>
      </c>
      <c r="F192" s="5">
        <f>IF(AND(D192="Ja",B192&lt;&gt;""),COUNTIFS($B$5:B192,B192,$D$5:D192,"Ja"),"")</f>
        <v/>
      </c>
      <c r="G192" s="6">
        <f>IF(F192="","",IF(F192&lt;=Einstellungen!$B$5,Einstellungen!$B$3,Einstellungen!$B$4))</f>
        <v/>
      </c>
      <c r="H192" s="6">
        <f>IF(G192="",0,G192)</f>
        <v/>
      </c>
    </row>
    <row r="193">
      <c r="A193" s="11" t="n"/>
      <c r="B193" s="12" t="n"/>
      <c r="C193" s="12" t="n"/>
      <c r="D193" s="12" t="n"/>
      <c r="E193" s="13">
        <f>IF(A193="","",DATE(YEAR(A193),MONTH(A193),1))</f>
        <v/>
      </c>
      <c r="F193" s="5">
        <f>IF(AND(D193="Ja",B193&lt;&gt;""),COUNTIFS($B$5:B193,B193,$D$5:D193,"Ja"),"")</f>
        <v/>
      </c>
      <c r="G193" s="6">
        <f>IF(F193="","",IF(F193&lt;=Einstellungen!$B$5,Einstellungen!$B$3,Einstellungen!$B$4))</f>
        <v/>
      </c>
      <c r="H193" s="6">
        <f>IF(G193="",0,G193)</f>
        <v/>
      </c>
    </row>
    <row r="194">
      <c r="A194" s="11" t="n"/>
      <c r="B194" s="12" t="n"/>
      <c r="C194" s="12" t="n"/>
      <c r="D194" s="12" t="n"/>
      <c r="E194" s="13">
        <f>IF(A194="","",DATE(YEAR(A194),MONTH(A194),1))</f>
        <v/>
      </c>
      <c r="F194" s="5">
        <f>IF(AND(D194="Ja",B194&lt;&gt;""),COUNTIFS($B$5:B194,B194,$D$5:D194,"Ja"),"")</f>
        <v/>
      </c>
      <c r="G194" s="6">
        <f>IF(F194="","",IF(F194&lt;=Einstellungen!$B$5,Einstellungen!$B$3,Einstellungen!$B$4))</f>
        <v/>
      </c>
      <c r="H194" s="6">
        <f>IF(G194="",0,G194)</f>
        <v/>
      </c>
    </row>
    <row r="195">
      <c r="A195" s="11" t="n"/>
      <c r="B195" s="12" t="n"/>
      <c r="C195" s="12" t="n"/>
      <c r="D195" s="12" t="n"/>
      <c r="E195" s="13">
        <f>IF(A195="","",DATE(YEAR(A195),MONTH(A195),1))</f>
        <v/>
      </c>
      <c r="F195" s="5">
        <f>IF(AND(D195="Ja",B195&lt;&gt;""),COUNTIFS($B$5:B195,B195,$D$5:D195,"Ja"),"")</f>
        <v/>
      </c>
      <c r="G195" s="6">
        <f>IF(F195="","",IF(F195&lt;=Einstellungen!$B$5,Einstellungen!$B$3,Einstellungen!$B$4))</f>
        <v/>
      </c>
      <c r="H195" s="6">
        <f>IF(G195="",0,G195)</f>
        <v/>
      </c>
    </row>
    <row r="196">
      <c r="A196" s="11" t="n"/>
      <c r="B196" s="12" t="n"/>
      <c r="C196" s="12" t="n"/>
      <c r="D196" s="12" t="n"/>
      <c r="E196" s="13">
        <f>IF(A196="","",DATE(YEAR(A196),MONTH(A196),1))</f>
        <v/>
      </c>
      <c r="F196" s="5">
        <f>IF(AND(D196="Ja",B196&lt;&gt;""),COUNTIFS($B$5:B196,B196,$D$5:D196,"Ja"),"")</f>
        <v/>
      </c>
      <c r="G196" s="6">
        <f>IF(F196="","",IF(F196&lt;=Einstellungen!$B$5,Einstellungen!$B$3,Einstellungen!$B$4))</f>
        <v/>
      </c>
      <c r="H196" s="6">
        <f>IF(G196="",0,G196)</f>
        <v/>
      </c>
    </row>
    <row r="197">
      <c r="A197" s="11" t="n"/>
      <c r="B197" s="12" t="n"/>
      <c r="C197" s="12" t="n"/>
      <c r="D197" s="12" t="n"/>
      <c r="E197" s="13">
        <f>IF(A197="","",DATE(YEAR(A197),MONTH(A197),1))</f>
        <v/>
      </c>
      <c r="F197" s="5">
        <f>IF(AND(D197="Ja",B197&lt;&gt;""),COUNTIFS($B$5:B197,B197,$D$5:D197,"Ja"),"")</f>
        <v/>
      </c>
      <c r="G197" s="6">
        <f>IF(F197="","",IF(F197&lt;=Einstellungen!$B$5,Einstellungen!$B$3,Einstellungen!$B$4))</f>
        <v/>
      </c>
      <c r="H197" s="6">
        <f>IF(G197="",0,G197)</f>
        <v/>
      </c>
    </row>
    <row r="198">
      <c r="A198" s="11" t="n"/>
      <c r="B198" s="12" t="n"/>
      <c r="C198" s="12" t="n"/>
      <c r="D198" s="12" t="n"/>
      <c r="E198" s="13">
        <f>IF(A198="","",DATE(YEAR(A198),MONTH(A198),1))</f>
        <v/>
      </c>
      <c r="F198" s="5">
        <f>IF(AND(D198="Ja",B198&lt;&gt;""),COUNTIFS($B$5:B198,B198,$D$5:D198,"Ja"),"")</f>
        <v/>
      </c>
      <c r="G198" s="6">
        <f>IF(F198="","",IF(F198&lt;=Einstellungen!$B$5,Einstellungen!$B$3,Einstellungen!$B$4))</f>
        <v/>
      </c>
      <c r="H198" s="6">
        <f>IF(G198="",0,G198)</f>
        <v/>
      </c>
    </row>
    <row r="199">
      <c r="A199" s="11" t="n"/>
      <c r="B199" s="12" t="n"/>
      <c r="C199" s="12" t="n"/>
      <c r="D199" s="12" t="n"/>
      <c r="E199" s="13">
        <f>IF(A199="","",DATE(YEAR(A199),MONTH(A199),1))</f>
        <v/>
      </c>
      <c r="F199" s="5">
        <f>IF(AND(D199="Ja",B199&lt;&gt;""),COUNTIFS($B$5:B199,B199,$D$5:D199,"Ja"),"")</f>
        <v/>
      </c>
      <c r="G199" s="6">
        <f>IF(F199="","",IF(F199&lt;=Einstellungen!$B$5,Einstellungen!$B$3,Einstellungen!$B$4))</f>
        <v/>
      </c>
      <c r="H199" s="6">
        <f>IF(G199="",0,G199)</f>
        <v/>
      </c>
    </row>
    <row r="200">
      <c r="A200" s="11" t="n"/>
      <c r="B200" s="12" t="n"/>
      <c r="C200" s="12" t="n"/>
      <c r="D200" s="12" t="n"/>
      <c r="E200" s="13">
        <f>IF(A200="","",DATE(YEAR(A200),MONTH(A200),1))</f>
        <v/>
      </c>
      <c r="F200" s="5">
        <f>IF(AND(D200="Ja",B200&lt;&gt;""),COUNTIFS($B$5:B200,B200,$D$5:D200,"Ja"),"")</f>
        <v/>
      </c>
      <c r="G200" s="6">
        <f>IF(F200="","",IF(F200&lt;=Einstellungen!$B$5,Einstellungen!$B$3,Einstellungen!$B$4))</f>
        <v/>
      </c>
      <c r="H200" s="6">
        <f>IF(G200="",0,G200)</f>
        <v/>
      </c>
    </row>
    <row r="201">
      <c r="A201" s="11" t="n"/>
      <c r="B201" s="12" t="n"/>
      <c r="C201" s="12" t="n"/>
      <c r="D201" s="12" t="n"/>
      <c r="E201" s="13">
        <f>IF(A201="","",DATE(YEAR(A201),MONTH(A201),1))</f>
        <v/>
      </c>
      <c r="F201" s="5">
        <f>IF(AND(D201="Ja",B201&lt;&gt;""),COUNTIFS($B$5:B201,B201,$D$5:D201,"Ja"),"")</f>
        <v/>
      </c>
      <c r="G201" s="6">
        <f>IF(F201="","",IF(F201&lt;=Einstellungen!$B$5,Einstellungen!$B$3,Einstellungen!$B$4))</f>
        <v/>
      </c>
      <c r="H201" s="6">
        <f>IF(G201="",0,G201)</f>
        <v/>
      </c>
    </row>
    <row r="202">
      <c r="A202" s="11" t="n"/>
      <c r="B202" s="12" t="n"/>
      <c r="C202" s="12" t="n"/>
      <c r="D202" s="12" t="n"/>
      <c r="E202" s="13">
        <f>IF(A202="","",DATE(YEAR(A202),MONTH(A202),1))</f>
        <v/>
      </c>
      <c r="F202" s="5">
        <f>IF(AND(D202="Ja",B202&lt;&gt;""),COUNTIFS($B$5:B202,B202,$D$5:D202,"Ja"),"")</f>
        <v/>
      </c>
      <c r="G202" s="6">
        <f>IF(F202="","",IF(F202&lt;=Einstellungen!$B$5,Einstellungen!$B$3,Einstellungen!$B$4))</f>
        <v/>
      </c>
      <c r="H202" s="6">
        <f>IF(G202="",0,G202)</f>
        <v/>
      </c>
    </row>
    <row r="203">
      <c r="A203" s="11" t="n"/>
      <c r="B203" s="12" t="n"/>
      <c r="C203" s="12" t="n"/>
      <c r="D203" s="12" t="n"/>
      <c r="E203" s="13">
        <f>IF(A203="","",DATE(YEAR(A203),MONTH(A203),1))</f>
        <v/>
      </c>
      <c r="F203" s="5">
        <f>IF(AND(D203="Ja",B203&lt;&gt;""),COUNTIFS($B$5:B203,B203,$D$5:D203,"Ja"),"")</f>
        <v/>
      </c>
      <c r="G203" s="6">
        <f>IF(F203="","",IF(F203&lt;=Einstellungen!$B$5,Einstellungen!$B$3,Einstellungen!$B$4))</f>
        <v/>
      </c>
      <c r="H203" s="6">
        <f>IF(G203="",0,G203)</f>
        <v/>
      </c>
    </row>
    <row r="204">
      <c r="A204" s="11" t="n"/>
      <c r="B204" s="12" t="n"/>
      <c r="C204" s="12" t="n"/>
      <c r="D204" s="12" t="n"/>
      <c r="E204" s="13">
        <f>IF(A204="","",DATE(YEAR(A204),MONTH(A204),1))</f>
        <v/>
      </c>
      <c r="F204" s="5">
        <f>IF(AND(D204="Ja",B204&lt;&gt;""),COUNTIFS($B$5:B204,B204,$D$5:D204,"Ja"),"")</f>
        <v/>
      </c>
      <c r="G204" s="6">
        <f>IF(F204="","",IF(F204&lt;=Einstellungen!$B$5,Einstellungen!$B$3,Einstellungen!$B$4))</f>
        <v/>
      </c>
      <c r="H204" s="6">
        <f>IF(G204="",0,G204)</f>
        <v/>
      </c>
    </row>
    <row r="205">
      <c r="A205" s="11" t="n"/>
      <c r="B205" s="12" t="n"/>
      <c r="C205" s="12" t="n"/>
      <c r="D205" s="12" t="n"/>
      <c r="E205" s="13">
        <f>IF(A205="","",DATE(YEAR(A205),MONTH(A205),1))</f>
        <v/>
      </c>
      <c r="F205" s="5">
        <f>IF(AND(D205="Ja",B205&lt;&gt;""),COUNTIFS($B$5:B205,B205,$D$5:D205,"Ja"),"")</f>
        <v/>
      </c>
      <c r="G205" s="6">
        <f>IF(F205="","",IF(F205&lt;=Einstellungen!$B$5,Einstellungen!$B$3,Einstellungen!$B$4))</f>
        <v/>
      </c>
      <c r="H205" s="6">
        <f>IF(G205="",0,G205)</f>
        <v/>
      </c>
    </row>
    <row r="206">
      <c r="A206" s="11" t="n"/>
      <c r="B206" s="12" t="n"/>
      <c r="C206" s="12" t="n"/>
      <c r="D206" s="12" t="n"/>
      <c r="E206" s="13">
        <f>IF(A206="","",DATE(YEAR(A206),MONTH(A206),1))</f>
        <v/>
      </c>
      <c r="F206" s="5">
        <f>IF(AND(D206="Ja",B206&lt;&gt;""),COUNTIFS($B$5:B206,B206,$D$5:D206,"Ja"),"")</f>
        <v/>
      </c>
      <c r="G206" s="6">
        <f>IF(F206="","",IF(F206&lt;=Einstellungen!$B$5,Einstellungen!$B$3,Einstellungen!$B$4))</f>
        <v/>
      </c>
      <c r="H206" s="6">
        <f>IF(G206="",0,G206)</f>
        <v/>
      </c>
    </row>
    <row r="207">
      <c r="A207" s="11" t="n"/>
      <c r="B207" s="12" t="n"/>
      <c r="C207" s="12" t="n"/>
      <c r="D207" s="12" t="n"/>
      <c r="E207" s="13">
        <f>IF(A207="","",DATE(YEAR(A207),MONTH(A207),1))</f>
        <v/>
      </c>
      <c r="F207" s="5">
        <f>IF(AND(D207="Ja",B207&lt;&gt;""),COUNTIFS($B$5:B207,B207,$D$5:D207,"Ja"),"")</f>
        <v/>
      </c>
      <c r="G207" s="6">
        <f>IF(F207="","",IF(F207&lt;=Einstellungen!$B$5,Einstellungen!$B$3,Einstellungen!$B$4))</f>
        <v/>
      </c>
      <c r="H207" s="6">
        <f>IF(G207="",0,G207)</f>
        <v/>
      </c>
    </row>
    <row r="208">
      <c r="A208" s="11" t="n"/>
      <c r="B208" s="12" t="n"/>
      <c r="C208" s="12" t="n"/>
      <c r="D208" s="12" t="n"/>
      <c r="E208" s="13">
        <f>IF(A208="","",DATE(YEAR(A208),MONTH(A208),1))</f>
        <v/>
      </c>
      <c r="F208" s="5">
        <f>IF(AND(D208="Ja",B208&lt;&gt;""),COUNTIFS($B$5:B208,B208,$D$5:D208,"Ja"),"")</f>
        <v/>
      </c>
      <c r="G208" s="6">
        <f>IF(F208="","",IF(F208&lt;=Einstellungen!$B$5,Einstellungen!$B$3,Einstellungen!$B$4))</f>
        <v/>
      </c>
      <c r="H208" s="6">
        <f>IF(G208="",0,G208)</f>
        <v/>
      </c>
    </row>
    <row r="209">
      <c r="A209" s="11" t="n"/>
      <c r="B209" s="12" t="n"/>
      <c r="C209" s="12" t="n"/>
      <c r="D209" s="12" t="n"/>
      <c r="E209" s="13">
        <f>IF(A209="","",DATE(YEAR(A209),MONTH(A209),1))</f>
        <v/>
      </c>
      <c r="F209" s="5">
        <f>IF(AND(D209="Ja",B209&lt;&gt;""),COUNTIFS($B$5:B209,B209,$D$5:D209,"Ja"),"")</f>
        <v/>
      </c>
      <c r="G209" s="6">
        <f>IF(F209="","",IF(F209&lt;=Einstellungen!$B$5,Einstellungen!$B$3,Einstellungen!$B$4))</f>
        <v/>
      </c>
      <c r="H209" s="6">
        <f>IF(G209="",0,G209)</f>
        <v/>
      </c>
    </row>
    <row r="210">
      <c r="A210" s="11" t="n"/>
      <c r="B210" s="12" t="n"/>
      <c r="C210" s="12" t="n"/>
      <c r="D210" s="12" t="n"/>
      <c r="E210" s="13">
        <f>IF(A210="","",DATE(YEAR(A210),MONTH(A210),1))</f>
        <v/>
      </c>
      <c r="F210" s="5">
        <f>IF(AND(D210="Ja",B210&lt;&gt;""),COUNTIFS($B$5:B210,B210,$D$5:D210,"Ja"),"")</f>
        <v/>
      </c>
      <c r="G210" s="6">
        <f>IF(F210="","",IF(F210&lt;=Einstellungen!$B$5,Einstellungen!$B$3,Einstellungen!$B$4))</f>
        <v/>
      </c>
      <c r="H210" s="6">
        <f>IF(G210="",0,G210)</f>
        <v/>
      </c>
    </row>
    <row r="211">
      <c r="A211" s="11" t="n"/>
      <c r="B211" s="12" t="n"/>
      <c r="C211" s="12" t="n"/>
      <c r="D211" s="12" t="n"/>
      <c r="E211" s="13">
        <f>IF(A211="","",DATE(YEAR(A211),MONTH(A211),1))</f>
        <v/>
      </c>
      <c r="F211" s="5">
        <f>IF(AND(D211="Ja",B211&lt;&gt;""),COUNTIFS($B$5:B211,B211,$D$5:D211,"Ja"),"")</f>
        <v/>
      </c>
      <c r="G211" s="6">
        <f>IF(F211="","",IF(F211&lt;=Einstellungen!$B$5,Einstellungen!$B$3,Einstellungen!$B$4))</f>
        <v/>
      </c>
      <c r="H211" s="6">
        <f>IF(G211="",0,G211)</f>
        <v/>
      </c>
    </row>
    <row r="212">
      <c r="A212" s="11" t="n"/>
      <c r="B212" s="12" t="n"/>
      <c r="C212" s="12" t="n"/>
      <c r="D212" s="12" t="n"/>
      <c r="E212" s="13">
        <f>IF(A212="","",DATE(YEAR(A212),MONTH(A212),1))</f>
        <v/>
      </c>
      <c r="F212" s="5">
        <f>IF(AND(D212="Ja",B212&lt;&gt;""),COUNTIFS($B$5:B212,B212,$D$5:D212,"Ja"),"")</f>
        <v/>
      </c>
      <c r="G212" s="6">
        <f>IF(F212="","",IF(F212&lt;=Einstellungen!$B$5,Einstellungen!$B$3,Einstellungen!$B$4))</f>
        <v/>
      </c>
      <c r="H212" s="6">
        <f>IF(G212="",0,G212)</f>
        <v/>
      </c>
    </row>
    <row r="213">
      <c r="A213" s="11" t="n"/>
      <c r="B213" s="12" t="n"/>
      <c r="C213" s="12" t="n"/>
      <c r="D213" s="12" t="n"/>
      <c r="E213" s="13">
        <f>IF(A213="","",DATE(YEAR(A213),MONTH(A213),1))</f>
        <v/>
      </c>
      <c r="F213" s="5">
        <f>IF(AND(D213="Ja",B213&lt;&gt;""),COUNTIFS($B$5:B213,B213,$D$5:D213,"Ja"),"")</f>
        <v/>
      </c>
      <c r="G213" s="6">
        <f>IF(F213="","",IF(F213&lt;=Einstellungen!$B$5,Einstellungen!$B$3,Einstellungen!$B$4))</f>
        <v/>
      </c>
      <c r="H213" s="6">
        <f>IF(G213="",0,G213)</f>
        <v/>
      </c>
    </row>
    <row r="214">
      <c r="A214" s="11" t="n"/>
      <c r="B214" s="12" t="n"/>
      <c r="C214" s="12" t="n"/>
      <c r="D214" s="12" t="n"/>
      <c r="E214" s="13">
        <f>IF(A214="","",DATE(YEAR(A214),MONTH(A214),1))</f>
        <v/>
      </c>
      <c r="F214" s="5">
        <f>IF(AND(D214="Ja",B214&lt;&gt;""),COUNTIFS($B$5:B214,B214,$D$5:D214,"Ja"),"")</f>
        <v/>
      </c>
      <c r="G214" s="6">
        <f>IF(F214="","",IF(F214&lt;=Einstellungen!$B$5,Einstellungen!$B$3,Einstellungen!$B$4))</f>
        <v/>
      </c>
      <c r="H214" s="6">
        <f>IF(G214="",0,G214)</f>
        <v/>
      </c>
    </row>
    <row r="215">
      <c r="A215" s="11" t="n"/>
      <c r="B215" s="12" t="n"/>
      <c r="C215" s="12" t="n"/>
      <c r="D215" s="12" t="n"/>
      <c r="E215" s="13">
        <f>IF(A215="","",DATE(YEAR(A215),MONTH(A215),1))</f>
        <v/>
      </c>
      <c r="F215" s="5">
        <f>IF(AND(D215="Ja",B215&lt;&gt;""),COUNTIFS($B$5:B215,B215,$D$5:D215,"Ja"),"")</f>
        <v/>
      </c>
      <c r="G215" s="6">
        <f>IF(F215="","",IF(F215&lt;=Einstellungen!$B$5,Einstellungen!$B$3,Einstellungen!$B$4))</f>
        <v/>
      </c>
      <c r="H215" s="6">
        <f>IF(G215="",0,G215)</f>
        <v/>
      </c>
    </row>
    <row r="216">
      <c r="A216" s="11" t="n"/>
      <c r="B216" s="12" t="n"/>
      <c r="C216" s="12" t="n"/>
      <c r="D216" s="12" t="n"/>
      <c r="E216" s="13">
        <f>IF(A216="","",DATE(YEAR(A216),MONTH(A216),1))</f>
        <v/>
      </c>
      <c r="F216" s="5">
        <f>IF(AND(D216="Ja",B216&lt;&gt;""),COUNTIFS($B$5:B216,B216,$D$5:D216,"Ja"),"")</f>
        <v/>
      </c>
      <c r="G216" s="6">
        <f>IF(F216="","",IF(F216&lt;=Einstellungen!$B$5,Einstellungen!$B$3,Einstellungen!$B$4))</f>
        <v/>
      </c>
      <c r="H216" s="6">
        <f>IF(G216="",0,G216)</f>
        <v/>
      </c>
    </row>
    <row r="217">
      <c r="A217" s="11" t="n"/>
      <c r="B217" s="12" t="n"/>
      <c r="C217" s="12" t="n"/>
      <c r="D217" s="12" t="n"/>
      <c r="E217" s="13">
        <f>IF(A217="","",DATE(YEAR(A217),MONTH(A217),1))</f>
        <v/>
      </c>
      <c r="F217" s="5">
        <f>IF(AND(D217="Ja",B217&lt;&gt;""),COUNTIFS($B$5:B217,B217,$D$5:D217,"Ja"),"")</f>
        <v/>
      </c>
      <c r="G217" s="6">
        <f>IF(F217="","",IF(F217&lt;=Einstellungen!$B$5,Einstellungen!$B$3,Einstellungen!$B$4))</f>
        <v/>
      </c>
      <c r="H217" s="6">
        <f>IF(G217="",0,G217)</f>
        <v/>
      </c>
    </row>
    <row r="218">
      <c r="A218" s="11" t="n"/>
      <c r="B218" s="12" t="n"/>
      <c r="C218" s="12" t="n"/>
      <c r="D218" s="12" t="n"/>
      <c r="E218" s="13">
        <f>IF(A218="","",DATE(YEAR(A218),MONTH(A218),1))</f>
        <v/>
      </c>
      <c r="F218" s="5">
        <f>IF(AND(D218="Ja",B218&lt;&gt;""),COUNTIFS($B$5:B218,B218,$D$5:D218,"Ja"),"")</f>
        <v/>
      </c>
      <c r="G218" s="6">
        <f>IF(F218="","",IF(F218&lt;=Einstellungen!$B$5,Einstellungen!$B$3,Einstellungen!$B$4))</f>
        <v/>
      </c>
      <c r="H218" s="6">
        <f>IF(G218="",0,G218)</f>
        <v/>
      </c>
    </row>
    <row r="219">
      <c r="A219" s="11" t="n"/>
      <c r="B219" s="12" t="n"/>
      <c r="C219" s="12" t="n"/>
      <c r="D219" s="12" t="n"/>
      <c r="E219" s="13">
        <f>IF(A219="","",DATE(YEAR(A219),MONTH(A219),1))</f>
        <v/>
      </c>
      <c r="F219" s="5">
        <f>IF(AND(D219="Ja",B219&lt;&gt;""),COUNTIFS($B$5:B219,B219,$D$5:D219,"Ja"),"")</f>
        <v/>
      </c>
      <c r="G219" s="6">
        <f>IF(F219="","",IF(F219&lt;=Einstellungen!$B$5,Einstellungen!$B$3,Einstellungen!$B$4))</f>
        <v/>
      </c>
      <c r="H219" s="6">
        <f>IF(G219="",0,G219)</f>
        <v/>
      </c>
    </row>
    <row r="220">
      <c r="A220" s="11" t="n"/>
      <c r="B220" s="12" t="n"/>
      <c r="C220" s="12" t="n"/>
      <c r="D220" s="12" t="n"/>
      <c r="E220" s="13">
        <f>IF(A220="","",DATE(YEAR(A220),MONTH(A220),1))</f>
        <v/>
      </c>
      <c r="F220" s="5">
        <f>IF(AND(D220="Ja",B220&lt;&gt;""),COUNTIFS($B$5:B220,B220,$D$5:D220,"Ja"),"")</f>
        <v/>
      </c>
      <c r="G220" s="6">
        <f>IF(F220="","",IF(F220&lt;=Einstellungen!$B$5,Einstellungen!$B$3,Einstellungen!$B$4))</f>
        <v/>
      </c>
      <c r="H220" s="6">
        <f>IF(G220="",0,G220)</f>
        <v/>
      </c>
    </row>
    <row r="221">
      <c r="A221" s="11" t="n"/>
      <c r="B221" s="12" t="n"/>
      <c r="C221" s="12" t="n"/>
      <c r="D221" s="12" t="n"/>
      <c r="E221" s="13">
        <f>IF(A221="","",DATE(YEAR(A221),MONTH(A221),1))</f>
        <v/>
      </c>
      <c r="F221" s="5">
        <f>IF(AND(D221="Ja",B221&lt;&gt;""),COUNTIFS($B$5:B221,B221,$D$5:D221,"Ja"),"")</f>
        <v/>
      </c>
      <c r="G221" s="6">
        <f>IF(F221="","",IF(F221&lt;=Einstellungen!$B$5,Einstellungen!$B$3,Einstellungen!$B$4))</f>
        <v/>
      </c>
      <c r="H221" s="6">
        <f>IF(G221="",0,G221)</f>
        <v/>
      </c>
    </row>
    <row r="222">
      <c r="A222" s="11" t="n"/>
      <c r="B222" s="12" t="n"/>
      <c r="C222" s="12" t="n"/>
      <c r="D222" s="12" t="n"/>
      <c r="E222" s="13">
        <f>IF(A222="","",DATE(YEAR(A222),MONTH(A222),1))</f>
        <v/>
      </c>
      <c r="F222" s="5">
        <f>IF(AND(D222="Ja",B222&lt;&gt;""),COUNTIFS($B$5:B222,B222,$D$5:D222,"Ja"),"")</f>
        <v/>
      </c>
      <c r="G222" s="6">
        <f>IF(F222="","",IF(F222&lt;=Einstellungen!$B$5,Einstellungen!$B$3,Einstellungen!$B$4))</f>
        <v/>
      </c>
      <c r="H222" s="6">
        <f>IF(G222="",0,G222)</f>
        <v/>
      </c>
    </row>
    <row r="223">
      <c r="A223" s="11" t="n"/>
      <c r="B223" s="12" t="n"/>
      <c r="C223" s="12" t="n"/>
      <c r="D223" s="12" t="n"/>
      <c r="E223" s="13">
        <f>IF(A223="","",DATE(YEAR(A223),MONTH(A223),1))</f>
        <v/>
      </c>
      <c r="F223" s="5">
        <f>IF(AND(D223="Ja",B223&lt;&gt;""),COUNTIFS($B$5:B223,B223,$D$5:D223,"Ja"),"")</f>
        <v/>
      </c>
      <c r="G223" s="6">
        <f>IF(F223="","",IF(F223&lt;=Einstellungen!$B$5,Einstellungen!$B$3,Einstellungen!$B$4))</f>
        <v/>
      </c>
      <c r="H223" s="6">
        <f>IF(G223="",0,G223)</f>
        <v/>
      </c>
    </row>
    <row r="224">
      <c r="A224" s="11" t="n"/>
      <c r="B224" s="12" t="n"/>
      <c r="C224" s="12" t="n"/>
      <c r="D224" s="12" t="n"/>
      <c r="E224" s="13">
        <f>IF(A224="","",DATE(YEAR(A224),MONTH(A224),1))</f>
        <v/>
      </c>
      <c r="F224" s="5">
        <f>IF(AND(D224="Ja",B224&lt;&gt;""),COUNTIFS($B$5:B224,B224,$D$5:D224,"Ja"),"")</f>
        <v/>
      </c>
      <c r="G224" s="6">
        <f>IF(F224="","",IF(F224&lt;=Einstellungen!$B$5,Einstellungen!$B$3,Einstellungen!$B$4))</f>
        <v/>
      </c>
      <c r="H224" s="6">
        <f>IF(G224="",0,G224)</f>
        <v/>
      </c>
    </row>
    <row r="225">
      <c r="A225" s="11" t="n"/>
      <c r="B225" s="12" t="n"/>
      <c r="C225" s="12" t="n"/>
      <c r="D225" s="12" t="n"/>
      <c r="E225" s="13">
        <f>IF(A225="","",DATE(YEAR(A225),MONTH(A225),1))</f>
        <v/>
      </c>
      <c r="F225" s="5">
        <f>IF(AND(D225="Ja",B225&lt;&gt;""),COUNTIFS($B$5:B225,B225,$D$5:D225,"Ja"),"")</f>
        <v/>
      </c>
      <c r="G225" s="6">
        <f>IF(F225="","",IF(F225&lt;=Einstellungen!$B$5,Einstellungen!$B$3,Einstellungen!$B$4))</f>
        <v/>
      </c>
      <c r="H225" s="6">
        <f>IF(G225="",0,G225)</f>
        <v/>
      </c>
    </row>
    <row r="226">
      <c r="A226" s="11" t="n"/>
      <c r="B226" s="12" t="n"/>
      <c r="C226" s="12" t="n"/>
      <c r="D226" s="12" t="n"/>
      <c r="E226" s="13">
        <f>IF(A226="","",DATE(YEAR(A226),MONTH(A226),1))</f>
        <v/>
      </c>
      <c r="F226" s="5">
        <f>IF(AND(D226="Ja",B226&lt;&gt;""),COUNTIFS($B$5:B226,B226,$D$5:D226,"Ja"),"")</f>
        <v/>
      </c>
      <c r="G226" s="6">
        <f>IF(F226="","",IF(F226&lt;=Einstellungen!$B$5,Einstellungen!$B$3,Einstellungen!$B$4))</f>
        <v/>
      </c>
      <c r="H226" s="6">
        <f>IF(G226="",0,G226)</f>
        <v/>
      </c>
    </row>
    <row r="227">
      <c r="A227" s="11" t="n"/>
      <c r="B227" s="12" t="n"/>
      <c r="C227" s="12" t="n"/>
      <c r="D227" s="12" t="n"/>
      <c r="E227" s="13">
        <f>IF(A227="","",DATE(YEAR(A227),MONTH(A227),1))</f>
        <v/>
      </c>
      <c r="F227" s="5">
        <f>IF(AND(D227="Ja",B227&lt;&gt;""),COUNTIFS($B$5:B227,B227,$D$5:D227,"Ja"),"")</f>
        <v/>
      </c>
      <c r="G227" s="6">
        <f>IF(F227="","",IF(F227&lt;=Einstellungen!$B$5,Einstellungen!$B$3,Einstellungen!$B$4))</f>
        <v/>
      </c>
      <c r="H227" s="6">
        <f>IF(G227="",0,G227)</f>
        <v/>
      </c>
    </row>
    <row r="228">
      <c r="A228" s="11" t="n"/>
      <c r="B228" s="12" t="n"/>
      <c r="C228" s="12" t="n"/>
      <c r="D228" s="12" t="n"/>
      <c r="E228" s="13">
        <f>IF(A228="","",DATE(YEAR(A228),MONTH(A228),1))</f>
        <v/>
      </c>
      <c r="F228" s="5">
        <f>IF(AND(D228="Ja",B228&lt;&gt;""),COUNTIFS($B$5:B228,B228,$D$5:D228,"Ja"),"")</f>
        <v/>
      </c>
      <c r="G228" s="6">
        <f>IF(F228="","",IF(F228&lt;=Einstellungen!$B$5,Einstellungen!$B$3,Einstellungen!$B$4))</f>
        <v/>
      </c>
      <c r="H228" s="6">
        <f>IF(G228="",0,G228)</f>
        <v/>
      </c>
    </row>
    <row r="229">
      <c r="A229" s="11" t="n"/>
      <c r="B229" s="12" t="n"/>
      <c r="C229" s="12" t="n"/>
      <c r="D229" s="12" t="n"/>
      <c r="E229" s="13">
        <f>IF(A229="","",DATE(YEAR(A229),MONTH(A229),1))</f>
        <v/>
      </c>
      <c r="F229" s="5">
        <f>IF(AND(D229="Ja",B229&lt;&gt;""),COUNTIFS($B$5:B229,B229,$D$5:D229,"Ja"),"")</f>
        <v/>
      </c>
      <c r="G229" s="6">
        <f>IF(F229="","",IF(F229&lt;=Einstellungen!$B$5,Einstellungen!$B$3,Einstellungen!$B$4))</f>
        <v/>
      </c>
      <c r="H229" s="6">
        <f>IF(G229="",0,G229)</f>
        <v/>
      </c>
    </row>
    <row r="230">
      <c r="A230" s="11" t="n"/>
      <c r="B230" s="12" t="n"/>
      <c r="C230" s="12" t="n"/>
      <c r="D230" s="12" t="n"/>
      <c r="E230" s="13">
        <f>IF(A230="","",DATE(YEAR(A230),MONTH(A230),1))</f>
        <v/>
      </c>
      <c r="F230" s="5">
        <f>IF(AND(D230="Ja",B230&lt;&gt;""),COUNTIFS($B$5:B230,B230,$D$5:D230,"Ja"),"")</f>
        <v/>
      </c>
      <c r="G230" s="6">
        <f>IF(F230="","",IF(F230&lt;=Einstellungen!$B$5,Einstellungen!$B$3,Einstellungen!$B$4))</f>
        <v/>
      </c>
      <c r="H230" s="6">
        <f>IF(G230="",0,G230)</f>
        <v/>
      </c>
    </row>
    <row r="231">
      <c r="A231" s="11" t="n"/>
      <c r="B231" s="12" t="n"/>
      <c r="C231" s="12" t="n"/>
      <c r="D231" s="12" t="n"/>
      <c r="E231" s="13">
        <f>IF(A231="","",DATE(YEAR(A231),MONTH(A231),1))</f>
        <v/>
      </c>
      <c r="F231" s="5">
        <f>IF(AND(D231="Ja",B231&lt;&gt;""),COUNTIFS($B$5:B231,B231,$D$5:D231,"Ja"),"")</f>
        <v/>
      </c>
      <c r="G231" s="6">
        <f>IF(F231="","",IF(F231&lt;=Einstellungen!$B$5,Einstellungen!$B$3,Einstellungen!$B$4))</f>
        <v/>
      </c>
      <c r="H231" s="6">
        <f>IF(G231="",0,G231)</f>
        <v/>
      </c>
    </row>
    <row r="232">
      <c r="A232" s="11" t="n"/>
      <c r="B232" s="12" t="n"/>
      <c r="C232" s="12" t="n"/>
      <c r="D232" s="12" t="n"/>
      <c r="E232" s="13">
        <f>IF(A232="","",DATE(YEAR(A232),MONTH(A232),1))</f>
        <v/>
      </c>
      <c r="F232" s="5">
        <f>IF(AND(D232="Ja",B232&lt;&gt;""),COUNTIFS($B$5:B232,B232,$D$5:D232,"Ja"),"")</f>
        <v/>
      </c>
      <c r="G232" s="6">
        <f>IF(F232="","",IF(F232&lt;=Einstellungen!$B$5,Einstellungen!$B$3,Einstellungen!$B$4))</f>
        <v/>
      </c>
      <c r="H232" s="6">
        <f>IF(G232="",0,G232)</f>
        <v/>
      </c>
    </row>
    <row r="233">
      <c r="A233" s="11" t="n"/>
      <c r="B233" s="12" t="n"/>
      <c r="C233" s="12" t="n"/>
      <c r="D233" s="12" t="n"/>
      <c r="E233" s="13">
        <f>IF(A233="","",DATE(YEAR(A233),MONTH(A233),1))</f>
        <v/>
      </c>
      <c r="F233" s="5">
        <f>IF(AND(D233="Ja",B233&lt;&gt;""),COUNTIFS($B$5:B233,B233,$D$5:D233,"Ja"),"")</f>
        <v/>
      </c>
      <c r="G233" s="6">
        <f>IF(F233="","",IF(F233&lt;=Einstellungen!$B$5,Einstellungen!$B$3,Einstellungen!$B$4))</f>
        <v/>
      </c>
      <c r="H233" s="6">
        <f>IF(G233="",0,G233)</f>
        <v/>
      </c>
    </row>
    <row r="234">
      <c r="A234" s="11" t="n"/>
      <c r="B234" s="12" t="n"/>
      <c r="C234" s="12" t="n"/>
      <c r="D234" s="12" t="n"/>
      <c r="E234" s="13">
        <f>IF(A234="","",DATE(YEAR(A234),MONTH(A234),1))</f>
        <v/>
      </c>
      <c r="F234" s="5">
        <f>IF(AND(D234="Ja",B234&lt;&gt;""),COUNTIFS($B$5:B234,B234,$D$5:D234,"Ja"),"")</f>
        <v/>
      </c>
      <c r="G234" s="6">
        <f>IF(F234="","",IF(F234&lt;=Einstellungen!$B$5,Einstellungen!$B$3,Einstellungen!$B$4))</f>
        <v/>
      </c>
      <c r="H234" s="6">
        <f>IF(G234="",0,G234)</f>
        <v/>
      </c>
    </row>
    <row r="235">
      <c r="A235" s="11" t="n"/>
      <c r="B235" s="12" t="n"/>
      <c r="C235" s="12" t="n"/>
      <c r="D235" s="12" t="n"/>
      <c r="E235" s="13">
        <f>IF(A235="","",DATE(YEAR(A235),MONTH(A235),1))</f>
        <v/>
      </c>
      <c r="F235" s="5">
        <f>IF(AND(D235="Ja",B235&lt;&gt;""),COUNTIFS($B$5:B235,B235,$D$5:D235,"Ja"),"")</f>
        <v/>
      </c>
      <c r="G235" s="6">
        <f>IF(F235="","",IF(F235&lt;=Einstellungen!$B$5,Einstellungen!$B$3,Einstellungen!$B$4))</f>
        <v/>
      </c>
      <c r="H235" s="6">
        <f>IF(G235="",0,G235)</f>
        <v/>
      </c>
    </row>
    <row r="236">
      <c r="A236" s="11" t="n"/>
      <c r="B236" s="12" t="n"/>
      <c r="C236" s="12" t="n"/>
      <c r="D236" s="12" t="n"/>
      <c r="E236" s="13">
        <f>IF(A236="","",DATE(YEAR(A236),MONTH(A236),1))</f>
        <v/>
      </c>
      <c r="F236" s="5">
        <f>IF(AND(D236="Ja",B236&lt;&gt;""),COUNTIFS($B$5:B236,B236,$D$5:D236,"Ja"),"")</f>
        <v/>
      </c>
      <c r="G236" s="6">
        <f>IF(F236="","",IF(F236&lt;=Einstellungen!$B$5,Einstellungen!$B$3,Einstellungen!$B$4))</f>
        <v/>
      </c>
      <c r="H236" s="6">
        <f>IF(G236="",0,G236)</f>
        <v/>
      </c>
    </row>
    <row r="237">
      <c r="A237" s="11" t="n"/>
      <c r="B237" s="12" t="n"/>
      <c r="C237" s="12" t="n"/>
      <c r="D237" s="12" t="n"/>
      <c r="E237" s="13">
        <f>IF(A237="","",DATE(YEAR(A237),MONTH(A237),1))</f>
        <v/>
      </c>
      <c r="F237" s="5">
        <f>IF(AND(D237="Ja",B237&lt;&gt;""),COUNTIFS($B$5:B237,B237,$D$5:D237,"Ja"),"")</f>
        <v/>
      </c>
      <c r="G237" s="6">
        <f>IF(F237="","",IF(F237&lt;=Einstellungen!$B$5,Einstellungen!$B$3,Einstellungen!$B$4))</f>
        <v/>
      </c>
      <c r="H237" s="6">
        <f>IF(G237="",0,G237)</f>
        <v/>
      </c>
    </row>
    <row r="238">
      <c r="A238" s="11" t="n"/>
      <c r="B238" s="12" t="n"/>
      <c r="C238" s="12" t="n"/>
      <c r="D238" s="12" t="n"/>
      <c r="E238" s="13">
        <f>IF(A238="","",DATE(YEAR(A238),MONTH(A238),1))</f>
        <v/>
      </c>
      <c r="F238" s="5">
        <f>IF(AND(D238="Ja",B238&lt;&gt;""),COUNTIFS($B$5:B238,B238,$D$5:D238,"Ja"),"")</f>
        <v/>
      </c>
      <c r="G238" s="6">
        <f>IF(F238="","",IF(F238&lt;=Einstellungen!$B$5,Einstellungen!$B$3,Einstellungen!$B$4))</f>
        <v/>
      </c>
      <c r="H238" s="6">
        <f>IF(G238="",0,G238)</f>
        <v/>
      </c>
    </row>
    <row r="239">
      <c r="A239" s="11" t="n"/>
      <c r="B239" s="12" t="n"/>
      <c r="C239" s="12" t="n"/>
      <c r="D239" s="12" t="n"/>
      <c r="E239" s="13">
        <f>IF(A239="","",DATE(YEAR(A239),MONTH(A239),1))</f>
        <v/>
      </c>
      <c r="F239" s="5">
        <f>IF(AND(D239="Ja",B239&lt;&gt;""),COUNTIFS($B$5:B239,B239,$D$5:D239,"Ja"),"")</f>
        <v/>
      </c>
      <c r="G239" s="6">
        <f>IF(F239="","",IF(F239&lt;=Einstellungen!$B$5,Einstellungen!$B$3,Einstellungen!$B$4))</f>
        <v/>
      </c>
      <c r="H239" s="6">
        <f>IF(G239="",0,G239)</f>
        <v/>
      </c>
    </row>
    <row r="240">
      <c r="A240" s="11" t="n"/>
      <c r="B240" s="12" t="n"/>
      <c r="C240" s="12" t="n"/>
      <c r="D240" s="12" t="n"/>
      <c r="E240" s="13">
        <f>IF(A240="","",DATE(YEAR(A240),MONTH(A240),1))</f>
        <v/>
      </c>
      <c r="F240" s="5">
        <f>IF(AND(D240="Ja",B240&lt;&gt;""),COUNTIFS($B$5:B240,B240,$D$5:D240,"Ja"),"")</f>
        <v/>
      </c>
      <c r="G240" s="6">
        <f>IF(F240="","",IF(F240&lt;=Einstellungen!$B$5,Einstellungen!$B$3,Einstellungen!$B$4))</f>
        <v/>
      </c>
      <c r="H240" s="6">
        <f>IF(G240="",0,G240)</f>
        <v/>
      </c>
    </row>
    <row r="241">
      <c r="A241" s="11" t="n"/>
      <c r="B241" s="12" t="n"/>
      <c r="C241" s="12" t="n"/>
      <c r="D241" s="12" t="n"/>
      <c r="E241" s="13">
        <f>IF(A241="","",DATE(YEAR(A241),MONTH(A241),1))</f>
        <v/>
      </c>
      <c r="F241" s="5">
        <f>IF(AND(D241="Ja",B241&lt;&gt;""),COUNTIFS($B$5:B241,B241,$D$5:D241,"Ja"),"")</f>
        <v/>
      </c>
      <c r="G241" s="6">
        <f>IF(F241="","",IF(F241&lt;=Einstellungen!$B$5,Einstellungen!$B$3,Einstellungen!$B$4))</f>
        <v/>
      </c>
      <c r="H241" s="6">
        <f>IF(G241="",0,G241)</f>
        <v/>
      </c>
    </row>
    <row r="242">
      <c r="A242" s="11" t="n"/>
      <c r="B242" s="12" t="n"/>
      <c r="C242" s="12" t="n"/>
      <c r="D242" s="12" t="n"/>
      <c r="E242" s="13">
        <f>IF(A242="","",DATE(YEAR(A242),MONTH(A242),1))</f>
        <v/>
      </c>
      <c r="F242" s="5">
        <f>IF(AND(D242="Ja",B242&lt;&gt;""),COUNTIFS($B$5:B242,B242,$D$5:D242,"Ja"),"")</f>
        <v/>
      </c>
      <c r="G242" s="6">
        <f>IF(F242="","",IF(F242&lt;=Einstellungen!$B$5,Einstellungen!$B$3,Einstellungen!$B$4))</f>
        <v/>
      </c>
      <c r="H242" s="6">
        <f>IF(G242="",0,G242)</f>
        <v/>
      </c>
    </row>
    <row r="243">
      <c r="A243" s="11" t="n"/>
      <c r="B243" s="12" t="n"/>
      <c r="C243" s="12" t="n"/>
      <c r="D243" s="12" t="n"/>
      <c r="E243" s="13">
        <f>IF(A243="","",DATE(YEAR(A243),MONTH(A243),1))</f>
        <v/>
      </c>
      <c r="F243" s="5">
        <f>IF(AND(D243="Ja",B243&lt;&gt;""),COUNTIFS($B$5:B243,B243,$D$5:D243,"Ja"),"")</f>
        <v/>
      </c>
      <c r="G243" s="6">
        <f>IF(F243="","",IF(F243&lt;=Einstellungen!$B$5,Einstellungen!$B$3,Einstellungen!$B$4))</f>
        <v/>
      </c>
      <c r="H243" s="6">
        <f>IF(G243="",0,G243)</f>
        <v/>
      </c>
    </row>
    <row r="244">
      <c r="A244" s="11" t="n"/>
      <c r="B244" s="12" t="n"/>
      <c r="C244" s="12" t="n"/>
      <c r="D244" s="12" t="n"/>
      <c r="E244" s="13">
        <f>IF(A244="","",DATE(YEAR(A244),MONTH(A244),1))</f>
        <v/>
      </c>
      <c r="F244" s="5">
        <f>IF(AND(D244="Ja",B244&lt;&gt;""),COUNTIFS($B$5:B244,B244,$D$5:D244,"Ja"),"")</f>
        <v/>
      </c>
      <c r="G244" s="6">
        <f>IF(F244="","",IF(F244&lt;=Einstellungen!$B$5,Einstellungen!$B$3,Einstellungen!$B$4))</f>
        <v/>
      </c>
      <c r="H244" s="6">
        <f>IF(G244="",0,G244)</f>
        <v/>
      </c>
    </row>
    <row r="245">
      <c r="A245" s="11" t="n"/>
      <c r="B245" s="12" t="n"/>
      <c r="C245" s="12" t="n"/>
      <c r="D245" s="12" t="n"/>
      <c r="E245" s="13">
        <f>IF(A245="","",DATE(YEAR(A245),MONTH(A245),1))</f>
        <v/>
      </c>
      <c r="F245" s="5">
        <f>IF(AND(D245="Ja",B245&lt;&gt;""),COUNTIFS($B$5:B245,B245,$D$5:D245,"Ja"),"")</f>
        <v/>
      </c>
      <c r="G245" s="6">
        <f>IF(F245="","",IF(F245&lt;=Einstellungen!$B$5,Einstellungen!$B$3,Einstellungen!$B$4))</f>
        <v/>
      </c>
      <c r="H245" s="6">
        <f>IF(G245="",0,G245)</f>
        <v/>
      </c>
    </row>
    <row r="246">
      <c r="A246" s="11" t="n"/>
      <c r="B246" s="12" t="n"/>
      <c r="C246" s="12" t="n"/>
      <c r="D246" s="12" t="n"/>
      <c r="E246" s="13">
        <f>IF(A246="","",DATE(YEAR(A246),MONTH(A246),1))</f>
        <v/>
      </c>
      <c r="F246" s="5">
        <f>IF(AND(D246="Ja",B246&lt;&gt;""),COUNTIFS($B$5:B246,B246,$D$5:D246,"Ja"),"")</f>
        <v/>
      </c>
      <c r="G246" s="6">
        <f>IF(F246="","",IF(F246&lt;=Einstellungen!$B$5,Einstellungen!$B$3,Einstellungen!$B$4))</f>
        <v/>
      </c>
      <c r="H246" s="6">
        <f>IF(G246="",0,G246)</f>
        <v/>
      </c>
    </row>
    <row r="247">
      <c r="A247" s="11" t="n"/>
      <c r="B247" s="12" t="n"/>
      <c r="C247" s="12" t="n"/>
      <c r="D247" s="12" t="n"/>
      <c r="E247" s="13">
        <f>IF(A247="","",DATE(YEAR(A247),MONTH(A247),1))</f>
        <v/>
      </c>
      <c r="F247" s="5">
        <f>IF(AND(D247="Ja",B247&lt;&gt;""),COUNTIFS($B$5:B247,B247,$D$5:D247,"Ja"),"")</f>
        <v/>
      </c>
      <c r="G247" s="6">
        <f>IF(F247="","",IF(F247&lt;=Einstellungen!$B$5,Einstellungen!$B$3,Einstellungen!$B$4))</f>
        <v/>
      </c>
      <c r="H247" s="6">
        <f>IF(G247="",0,G247)</f>
        <v/>
      </c>
    </row>
    <row r="248">
      <c r="A248" s="11" t="n"/>
      <c r="B248" s="12" t="n"/>
      <c r="C248" s="12" t="n"/>
      <c r="D248" s="12" t="n"/>
      <c r="E248" s="13">
        <f>IF(A248="","",DATE(YEAR(A248),MONTH(A248),1))</f>
        <v/>
      </c>
      <c r="F248" s="5">
        <f>IF(AND(D248="Ja",B248&lt;&gt;""),COUNTIFS($B$5:B248,B248,$D$5:D248,"Ja"),"")</f>
        <v/>
      </c>
      <c r="G248" s="6">
        <f>IF(F248="","",IF(F248&lt;=Einstellungen!$B$5,Einstellungen!$B$3,Einstellungen!$B$4))</f>
        <v/>
      </c>
      <c r="H248" s="6">
        <f>IF(G248="",0,G248)</f>
        <v/>
      </c>
    </row>
    <row r="249">
      <c r="A249" s="11" t="n"/>
      <c r="B249" s="12" t="n"/>
      <c r="C249" s="12" t="n"/>
      <c r="D249" s="12" t="n"/>
      <c r="E249" s="13">
        <f>IF(A249="","",DATE(YEAR(A249),MONTH(A249),1))</f>
        <v/>
      </c>
      <c r="F249" s="5">
        <f>IF(AND(D249="Ja",B249&lt;&gt;""),COUNTIFS($B$5:B249,B249,$D$5:D249,"Ja"),"")</f>
        <v/>
      </c>
      <c r="G249" s="6">
        <f>IF(F249="","",IF(F249&lt;=Einstellungen!$B$5,Einstellungen!$B$3,Einstellungen!$B$4))</f>
        <v/>
      </c>
      <c r="H249" s="6">
        <f>IF(G249="",0,G249)</f>
        <v/>
      </c>
    </row>
    <row r="250">
      <c r="A250" s="11" t="n"/>
      <c r="B250" s="12" t="n"/>
      <c r="C250" s="12" t="n"/>
      <c r="D250" s="12" t="n"/>
      <c r="E250" s="13">
        <f>IF(A250="","",DATE(YEAR(A250),MONTH(A250),1))</f>
        <v/>
      </c>
      <c r="F250" s="5">
        <f>IF(AND(D250="Ja",B250&lt;&gt;""),COUNTIFS($B$5:B250,B250,$D$5:D250,"Ja"),"")</f>
        <v/>
      </c>
      <c r="G250" s="6">
        <f>IF(F250="","",IF(F250&lt;=Einstellungen!$B$5,Einstellungen!$B$3,Einstellungen!$B$4))</f>
        <v/>
      </c>
      <c r="H250" s="6">
        <f>IF(G250="",0,G250)</f>
        <v/>
      </c>
    </row>
    <row r="251">
      <c r="A251" s="11" t="n"/>
      <c r="B251" s="12" t="n"/>
      <c r="C251" s="12" t="n"/>
      <c r="D251" s="12" t="n"/>
      <c r="E251" s="13">
        <f>IF(A251="","",DATE(YEAR(A251),MONTH(A251),1))</f>
        <v/>
      </c>
      <c r="F251" s="5">
        <f>IF(AND(D251="Ja",B251&lt;&gt;""),COUNTIFS($B$5:B251,B251,$D$5:D251,"Ja"),"")</f>
        <v/>
      </c>
      <c r="G251" s="6">
        <f>IF(F251="","",IF(F251&lt;=Einstellungen!$B$5,Einstellungen!$B$3,Einstellungen!$B$4))</f>
        <v/>
      </c>
      <c r="H251" s="6">
        <f>IF(G251="",0,G251)</f>
        <v/>
      </c>
    </row>
    <row r="252">
      <c r="A252" s="11" t="n"/>
      <c r="B252" s="12" t="n"/>
      <c r="C252" s="12" t="n"/>
      <c r="D252" s="12" t="n"/>
      <c r="E252" s="13">
        <f>IF(A252="","",DATE(YEAR(A252),MONTH(A252),1))</f>
        <v/>
      </c>
      <c r="F252" s="5">
        <f>IF(AND(D252="Ja",B252&lt;&gt;""),COUNTIFS($B$5:B252,B252,$D$5:D252,"Ja"),"")</f>
        <v/>
      </c>
      <c r="G252" s="6">
        <f>IF(F252="","",IF(F252&lt;=Einstellungen!$B$5,Einstellungen!$B$3,Einstellungen!$B$4))</f>
        <v/>
      </c>
      <c r="H252" s="6">
        <f>IF(G252="",0,G252)</f>
        <v/>
      </c>
    </row>
    <row r="253">
      <c r="A253" s="11" t="n"/>
      <c r="B253" s="12" t="n"/>
      <c r="C253" s="12" t="n"/>
      <c r="D253" s="12" t="n"/>
      <c r="E253" s="13">
        <f>IF(A253="","",DATE(YEAR(A253),MONTH(A253),1))</f>
        <v/>
      </c>
      <c r="F253" s="5">
        <f>IF(AND(D253="Ja",B253&lt;&gt;""),COUNTIFS($B$5:B253,B253,$D$5:D253,"Ja"),"")</f>
        <v/>
      </c>
      <c r="G253" s="6">
        <f>IF(F253="","",IF(F253&lt;=Einstellungen!$B$5,Einstellungen!$B$3,Einstellungen!$B$4))</f>
        <v/>
      </c>
      <c r="H253" s="6">
        <f>IF(G253="",0,G253)</f>
        <v/>
      </c>
    </row>
    <row r="254">
      <c r="A254" s="11" t="n"/>
      <c r="B254" s="12" t="n"/>
      <c r="C254" s="12" t="n"/>
      <c r="D254" s="12" t="n"/>
      <c r="E254" s="13">
        <f>IF(A254="","",DATE(YEAR(A254),MONTH(A254),1))</f>
        <v/>
      </c>
      <c r="F254" s="5">
        <f>IF(AND(D254="Ja",B254&lt;&gt;""),COUNTIFS($B$5:B254,B254,$D$5:D254,"Ja"),"")</f>
        <v/>
      </c>
      <c r="G254" s="6">
        <f>IF(F254="","",IF(F254&lt;=Einstellungen!$B$5,Einstellungen!$B$3,Einstellungen!$B$4))</f>
        <v/>
      </c>
      <c r="H254" s="6">
        <f>IF(G254="",0,G254)</f>
        <v/>
      </c>
    </row>
    <row r="255">
      <c r="A255" s="11" t="n"/>
      <c r="B255" s="12" t="n"/>
      <c r="C255" s="12" t="n"/>
      <c r="D255" s="12" t="n"/>
      <c r="E255" s="13">
        <f>IF(A255="","",DATE(YEAR(A255),MONTH(A255),1))</f>
        <v/>
      </c>
      <c r="F255" s="5">
        <f>IF(AND(D255="Ja",B255&lt;&gt;""),COUNTIFS($B$5:B255,B255,$D$5:D255,"Ja"),"")</f>
        <v/>
      </c>
      <c r="G255" s="6">
        <f>IF(F255="","",IF(F255&lt;=Einstellungen!$B$5,Einstellungen!$B$3,Einstellungen!$B$4))</f>
        <v/>
      </c>
      <c r="H255" s="6">
        <f>IF(G255="",0,G255)</f>
        <v/>
      </c>
    </row>
    <row r="256">
      <c r="A256" s="11" t="n"/>
      <c r="B256" s="12" t="n"/>
      <c r="C256" s="12" t="n"/>
      <c r="D256" s="12" t="n"/>
      <c r="E256" s="13">
        <f>IF(A256="","",DATE(YEAR(A256),MONTH(A256),1))</f>
        <v/>
      </c>
      <c r="F256" s="5">
        <f>IF(AND(D256="Ja",B256&lt;&gt;""),COUNTIFS($B$5:B256,B256,$D$5:D256,"Ja"),"")</f>
        <v/>
      </c>
      <c r="G256" s="6">
        <f>IF(F256="","",IF(F256&lt;=Einstellungen!$B$5,Einstellungen!$B$3,Einstellungen!$B$4))</f>
        <v/>
      </c>
      <c r="H256" s="6">
        <f>IF(G256="",0,G256)</f>
        <v/>
      </c>
    </row>
    <row r="257">
      <c r="A257" s="11" t="n"/>
      <c r="B257" s="12" t="n"/>
      <c r="C257" s="12" t="n"/>
      <c r="D257" s="12" t="n"/>
      <c r="E257" s="13">
        <f>IF(A257="","",DATE(YEAR(A257),MONTH(A257),1))</f>
        <v/>
      </c>
      <c r="F257" s="5">
        <f>IF(AND(D257="Ja",B257&lt;&gt;""),COUNTIFS($B$5:B257,B257,$D$5:D257,"Ja"),"")</f>
        <v/>
      </c>
      <c r="G257" s="6">
        <f>IF(F257="","",IF(F257&lt;=Einstellungen!$B$5,Einstellungen!$B$3,Einstellungen!$B$4))</f>
        <v/>
      </c>
      <c r="H257" s="6">
        <f>IF(G257="",0,G257)</f>
        <v/>
      </c>
    </row>
    <row r="258">
      <c r="A258" s="11" t="n"/>
      <c r="B258" s="12" t="n"/>
      <c r="C258" s="12" t="n"/>
      <c r="D258" s="12" t="n"/>
      <c r="E258" s="13">
        <f>IF(A258="","",DATE(YEAR(A258),MONTH(A258),1))</f>
        <v/>
      </c>
      <c r="F258" s="5">
        <f>IF(AND(D258="Ja",B258&lt;&gt;""),COUNTIFS($B$5:B258,B258,$D$5:D258,"Ja"),"")</f>
        <v/>
      </c>
      <c r="G258" s="6">
        <f>IF(F258="","",IF(F258&lt;=Einstellungen!$B$5,Einstellungen!$B$3,Einstellungen!$B$4))</f>
        <v/>
      </c>
      <c r="H258" s="6">
        <f>IF(G258="",0,G258)</f>
        <v/>
      </c>
    </row>
    <row r="259">
      <c r="A259" s="11" t="n"/>
      <c r="B259" s="12" t="n"/>
      <c r="C259" s="12" t="n"/>
      <c r="D259" s="12" t="n"/>
      <c r="E259" s="13">
        <f>IF(A259="","",DATE(YEAR(A259),MONTH(A259),1))</f>
        <v/>
      </c>
      <c r="F259" s="5">
        <f>IF(AND(D259="Ja",B259&lt;&gt;""),COUNTIFS($B$5:B259,B259,$D$5:D259,"Ja"),"")</f>
        <v/>
      </c>
      <c r="G259" s="6">
        <f>IF(F259="","",IF(F259&lt;=Einstellungen!$B$5,Einstellungen!$B$3,Einstellungen!$B$4))</f>
        <v/>
      </c>
      <c r="H259" s="6">
        <f>IF(G259="",0,G259)</f>
        <v/>
      </c>
    </row>
    <row r="260">
      <c r="A260" s="11" t="n"/>
      <c r="B260" s="12" t="n"/>
      <c r="C260" s="12" t="n"/>
      <c r="D260" s="12" t="n"/>
      <c r="E260" s="13">
        <f>IF(A260="","",DATE(YEAR(A260),MONTH(A260),1))</f>
        <v/>
      </c>
      <c r="F260" s="5">
        <f>IF(AND(D260="Ja",B260&lt;&gt;""),COUNTIFS($B$5:B260,B260,$D$5:D260,"Ja"),"")</f>
        <v/>
      </c>
      <c r="G260" s="6">
        <f>IF(F260="","",IF(F260&lt;=Einstellungen!$B$5,Einstellungen!$B$3,Einstellungen!$B$4))</f>
        <v/>
      </c>
      <c r="H260" s="6">
        <f>IF(G260="",0,G260)</f>
        <v/>
      </c>
    </row>
    <row r="261">
      <c r="A261" s="11" t="n"/>
      <c r="B261" s="12" t="n"/>
      <c r="C261" s="12" t="n"/>
      <c r="D261" s="12" t="n"/>
      <c r="E261" s="13">
        <f>IF(A261="","",DATE(YEAR(A261),MONTH(A261),1))</f>
        <v/>
      </c>
      <c r="F261" s="5">
        <f>IF(AND(D261="Ja",B261&lt;&gt;""),COUNTIFS($B$5:B261,B261,$D$5:D261,"Ja"),"")</f>
        <v/>
      </c>
      <c r="G261" s="6">
        <f>IF(F261="","",IF(F261&lt;=Einstellungen!$B$5,Einstellungen!$B$3,Einstellungen!$B$4))</f>
        <v/>
      </c>
      <c r="H261" s="6">
        <f>IF(G261="",0,G261)</f>
        <v/>
      </c>
    </row>
    <row r="262">
      <c r="A262" s="11" t="n"/>
      <c r="B262" s="12" t="n"/>
      <c r="C262" s="12" t="n"/>
      <c r="D262" s="12" t="n"/>
      <c r="E262" s="13">
        <f>IF(A262="","",DATE(YEAR(A262),MONTH(A262),1))</f>
        <v/>
      </c>
      <c r="F262" s="5">
        <f>IF(AND(D262="Ja",B262&lt;&gt;""),COUNTIFS($B$5:B262,B262,$D$5:D262,"Ja"),"")</f>
        <v/>
      </c>
      <c r="G262" s="6">
        <f>IF(F262="","",IF(F262&lt;=Einstellungen!$B$5,Einstellungen!$B$3,Einstellungen!$B$4))</f>
        <v/>
      </c>
      <c r="H262" s="6">
        <f>IF(G262="",0,G262)</f>
        <v/>
      </c>
    </row>
    <row r="263">
      <c r="A263" s="11" t="n"/>
      <c r="B263" s="12" t="n"/>
      <c r="C263" s="12" t="n"/>
      <c r="D263" s="12" t="n"/>
      <c r="E263" s="13">
        <f>IF(A263="","",DATE(YEAR(A263),MONTH(A263),1))</f>
        <v/>
      </c>
      <c r="F263" s="5">
        <f>IF(AND(D263="Ja",B263&lt;&gt;""),COUNTIFS($B$5:B263,B263,$D$5:D263,"Ja"),"")</f>
        <v/>
      </c>
      <c r="G263" s="6">
        <f>IF(F263="","",IF(F263&lt;=Einstellungen!$B$5,Einstellungen!$B$3,Einstellungen!$B$4))</f>
        <v/>
      </c>
      <c r="H263" s="6">
        <f>IF(G263="",0,G263)</f>
        <v/>
      </c>
    </row>
    <row r="264">
      <c r="A264" s="11" t="n"/>
      <c r="B264" s="12" t="n"/>
      <c r="C264" s="12" t="n"/>
      <c r="D264" s="12" t="n"/>
      <c r="E264" s="13">
        <f>IF(A264="","",DATE(YEAR(A264),MONTH(A264),1))</f>
        <v/>
      </c>
      <c r="F264" s="5">
        <f>IF(AND(D264="Ja",B264&lt;&gt;""),COUNTIFS($B$5:B264,B264,$D$5:D264,"Ja"),"")</f>
        <v/>
      </c>
      <c r="G264" s="6">
        <f>IF(F264="","",IF(F264&lt;=Einstellungen!$B$5,Einstellungen!$B$3,Einstellungen!$B$4))</f>
        <v/>
      </c>
      <c r="H264" s="6">
        <f>IF(G264="",0,G264)</f>
        <v/>
      </c>
    </row>
    <row r="265">
      <c r="A265" s="11" t="n"/>
      <c r="B265" s="12" t="n"/>
      <c r="C265" s="12" t="n"/>
      <c r="D265" s="12" t="n"/>
      <c r="E265" s="13">
        <f>IF(A265="","",DATE(YEAR(A265),MONTH(A265),1))</f>
        <v/>
      </c>
      <c r="F265" s="5">
        <f>IF(AND(D265="Ja",B265&lt;&gt;""),COUNTIFS($B$5:B265,B265,$D$5:D265,"Ja"),"")</f>
        <v/>
      </c>
      <c r="G265" s="6">
        <f>IF(F265="","",IF(F265&lt;=Einstellungen!$B$5,Einstellungen!$B$3,Einstellungen!$B$4))</f>
        <v/>
      </c>
      <c r="H265" s="6">
        <f>IF(G265="",0,G265)</f>
        <v/>
      </c>
    </row>
    <row r="266">
      <c r="A266" s="11" t="n"/>
      <c r="B266" s="12" t="n"/>
      <c r="C266" s="12" t="n"/>
      <c r="D266" s="12" t="n"/>
      <c r="E266" s="13">
        <f>IF(A266="","",DATE(YEAR(A266),MONTH(A266),1))</f>
        <v/>
      </c>
      <c r="F266" s="5">
        <f>IF(AND(D266="Ja",B266&lt;&gt;""),COUNTIFS($B$5:B266,B266,$D$5:D266,"Ja"),"")</f>
        <v/>
      </c>
      <c r="G266" s="6">
        <f>IF(F266="","",IF(F266&lt;=Einstellungen!$B$5,Einstellungen!$B$3,Einstellungen!$B$4))</f>
        <v/>
      </c>
      <c r="H266" s="6">
        <f>IF(G266="",0,G266)</f>
        <v/>
      </c>
    </row>
    <row r="267">
      <c r="A267" s="11" t="n"/>
      <c r="B267" s="12" t="n"/>
      <c r="C267" s="12" t="n"/>
      <c r="D267" s="12" t="n"/>
      <c r="E267" s="13">
        <f>IF(A267="","",DATE(YEAR(A267),MONTH(A267),1))</f>
        <v/>
      </c>
      <c r="F267" s="5">
        <f>IF(AND(D267="Ja",B267&lt;&gt;""),COUNTIFS($B$5:B267,B267,$D$5:D267,"Ja"),"")</f>
        <v/>
      </c>
      <c r="G267" s="6">
        <f>IF(F267="","",IF(F267&lt;=Einstellungen!$B$5,Einstellungen!$B$3,Einstellungen!$B$4))</f>
        <v/>
      </c>
      <c r="H267" s="6">
        <f>IF(G267="",0,G267)</f>
        <v/>
      </c>
    </row>
    <row r="268">
      <c r="A268" s="11" t="n"/>
      <c r="B268" s="12" t="n"/>
      <c r="C268" s="12" t="n"/>
      <c r="D268" s="12" t="n"/>
      <c r="E268" s="13">
        <f>IF(A268="","",DATE(YEAR(A268),MONTH(A268),1))</f>
        <v/>
      </c>
      <c r="F268" s="5">
        <f>IF(AND(D268="Ja",B268&lt;&gt;""),COUNTIFS($B$5:B268,B268,$D$5:D268,"Ja"),"")</f>
        <v/>
      </c>
      <c r="G268" s="6">
        <f>IF(F268="","",IF(F268&lt;=Einstellungen!$B$5,Einstellungen!$B$3,Einstellungen!$B$4))</f>
        <v/>
      </c>
      <c r="H268" s="6">
        <f>IF(G268="",0,G268)</f>
        <v/>
      </c>
    </row>
    <row r="269">
      <c r="A269" s="11" t="n"/>
      <c r="B269" s="12" t="n"/>
      <c r="C269" s="12" t="n"/>
      <c r="D269" s="12" t="n"/>
      <c r="E269" s="13">
        <f>IF(A269="","",DATE(YEAR(A269),MONTH(A269),1))</f>
        <v/>
      </c>
      <c r="F269" s="5">
        <f>IF(AND(D269="Ja",B269&lt;&gt;""),COUNTIFS($B$5:B269,B269,$D$5:D269,"Ja"),"")</f>
        <v/>
      </c>
      <c r="G269" s="6">
        <f>IF(F269="","",IF(F269&lt;=Einstellungen!$B$5,Einstellungen!$B$3,Einstellungen!$B$4))</f>
        <v/>
      </c>
      <c r="H269" s="6">
        <f>IF(G269="",0,G269)</f>
        <v/>
      </c>
    </row>
    <row r="270">
      <c r="A270" s="11" t="n"/>
      <c r="B270" s="12" t="n"/>
      <c r="C270" s="12" t="n"/>
      <c r="D270" s="12" t="n"/>
      <c r="E270" s="13">
        <f>IF(A270="","",DATE(YEAR(A270),MONTH(A270),1))</f>
        <v/>
      </c>
      <c r="F270" s="5">
        <f>IF(AND(D270="Ja",B270&lt;&gt;""),COUNTIFS($B$5:B270,B270,$D$5:D270,"Ja"),"")</f>
        <v/>
      </c>
      <c r="G270" s="6">
        <f>IF(F270="","",IF(F270&lt;=Einstellungen!$B$5,Einstellungen!$B$3,Einstellungen!$B$4))</f>
        <v/>
      </c>
      <c r="H270" s="6">
        <f>IF(G270="",0,G270)</f>
        <v/>
      </c>
    </row>
    <row r="271">
      <c r="A271" s="11" t="n"/>
      <c r="B271" s="12" t="n"/>
      <c r="C271" s="12" t="n"/>
      <c r="D271" s="12" t="n"/>
      <c r="E271" s="13">
        <f>IF(A271="","",DATE(YEAR(A271),MONTH(A271),1))</f>
        <v/>
      </c>
      <c r="F271" s="5">
        <f>IF(AND(D271="Ja",B271&lt;&gt;""),COUNTIFS($B$5:B271,B271,$D$5:D271,"Ja"),"")</f>
        <v/>
      </c>
      <c r="G271" s="6">
        <f>IF(F271="","",IF(F271&lt;=Einstellungen!$B$5,Einstellungen!$B$3,Einstellungen!$B$4))</f>
        <v/>
      </c>
      <c r="H271" s="6">
        <f>IF(G271="",0,G271)</f>
        <v/>
      </c>
    </row>
    <row r="272">
      <c r="A272" s="11" t="n"/>
      <c r="B272" s="12" t="n"/>
      <c r="C272" s="12" t="n"/>
      <c r="D272" s="12" t="n"/>
      <c r="E272" s="13">
        <f>IF(A272="","",DATE(YEAR(A272),MONTH(A272),1))</f>
        <v/>
      </c>
      <c r="F272" s="5">
        <f>IF(AND(D272="Ja",B272&lt;&gt;""),COUNTIFS($B$5:B272,B272,$D$5:D272,"Ja"),"")</f>
        <v/>
      </c>
      <c r="G272" s="6">
        <f>IF(F272="","",IF(F272&lt;=Einstellungen!$B$5,Einstellungen!$B$3,Einstellungen!$B$4))</f>
        <v/>
      </c>
      <c r="H272" s="6">
        <f>IF(G272="",0,G272)</f>
        <v/>
      </c>
    </row>
    <row r="273">
      <c r="A273" s="11" t="n"/>
      <c r="B273" s="12" t="n"/>
      <c r="C273" s="12" t="n"/>
      <c r="D273" s="12" t="n"/>
      <c r="E273" s="13">
        <f>IF(A273="","",DATE(YEAR(A273),MONTH(A273),1))</f>
        <v/>
      </c>
      <c r="F273" s="5">
        <f>IF(AND(D273="Ja",B273&lt;&gt;""),COUNTIFS($B$5:B273,B273,$D$5:D273,"Ja"),"")</f>
        <v/>
      </c>
      <c r="G273" s="6">
        <f>IF(F273="","",IF(F273&lt;=Einstellungen!$B$5,Einstellungen!$B$3,Einstellungen!$B$4))</f>
        <v/>
      </c>
      <c r="H273" s="6">
        <f>IF(G273="",0,G273)</f>
        <v/>
      </c>
    </row>
    <row r="274">
      <c r="A274" s="11" t="n"/>
      <c r="B274" s="12" t="n"/>
      <c r="C274" s="12" t="n"/>
      <c r="D274" s="12" t="n"/>
      <c r="E274" s="13">
        <f>IF(A274="","",DATE(YEAR(A274),MONTH(A274),1))</f>
        <v/>
      </c>
      <c r="F274" s="5">
        <f>IF(AND(D274="Ja",B274&lt;&gt;""),COUNTIFS($B$5:B274,B274,$D$5:D274,"Ja"),"")</f>
        <v/>
      </c>
      <c r="G274" s="6">
        <f>IF(F274="","",IF(F274&lt;=Einstellungen!$B$5,Einstellungen!$B$3,Einstellungen!$B$4))</f>
        <v/>
      </c>
      <c r="H274" s="6">
        <f>IF(G274="",0,G274)</f>
        <v/>
      </c>
    </row>
    <row r="275">
      <c r="A275" s="11" t="n"/>
      <c r="B275" s="12" t="n"/>
      <c r="C275" s="12" t="n"/>
      <c r="D275" s="12" t="n"/>
      <c r="E275" s="13">
        <f>IF(A275="","",DATE(YEAR(A275),MONTH(A275),1))</f>
        <v/>
      </c>
      <c r="F275" s="5">
        <f>IF(AND(D275="Ja",B275&lt;&gt;""),COUNTIFS($B$5:B275,B275,$D$5:D275,"Ja"),"")</f>
        <v/>
      </c>
      <c r="G275" s="6">
        <f>IF(F275="","",IF(F275&lt;=Einstellungen!$B$5,Einstellungen!$B$3,Einstellungen!$B$4))</f>
        <v/>
      </c>
      <c r="H275" s="6">
        <f>IF(G275="",0,G275)</f>
        <v/>
      </c>
    </row>
    <row r="276">
      <c r="A276" s="11" t="n"/>
      <c r="B276" s="12" t="n"/>
      <c r="C276" s="12" t="n"/>
      <c r="D276" s="12" t="n"/>
      <c r="E276" s="13">
        <f>IF(A276="","",DATE(YEAR(A276),MONTH(A276),1))</f>
        <v/>
      </c>
      <c r="F276" s="5">
        <f>IF(AND(D276="Ja",B276&lt;&gt;""),COUNTIFS($B$5:B276,B276,$D$5:D276,"Ja"),"")</f>
        <v/>
      </c>
      <c r="G276" s="6">
        <f>IF(F276="","",IF(F276&lt;=Einstellungen!$B$5,Einstellungen!$B$3,Einstellungen!$B$4))</f>
        <v/>
      </c>
      <c r="H276" s="6">
        <f>IF(G276="",0,G276)</f>
        <v/>
      </c>
    </row>
    <row r="277">
      <c r="A277" s="11" t="n"/>
      <c r="B277" s="12" t="n"/>
      <c r="C277" s="12" t="n"/>
      <c r="D277" s="12" t="n"/>
      <c r="E277" s="13">
        <f>IF(A277="","",DATE(YEAR(A277),MONTH(A277),1))</f>
        <v/>
      </c>
      <c r="F277" s="5">
        <f>IF(AND(D277="Ja",B277&lt;&gt;""),COUNTIFS($B$5:B277,B277,$D$5:D277,"Ja"),"")</f>
        <v/>
      </c>
      <c r="G277" s="6">
        <f>IF(F277="","",IF(F277&lt;=Einstellungen!$B$5,Einstellungen!$B$3,Einstellungen!$B$4))</f>
        <v/>
      </c>
      <c r="H277" s="6">
        <f>IF(G277="",0,G277)</f>
        <v/>
      </c>
    </row>
    <row r="278">
      <c r="A278" s="11" t="n"/>
      <c r="B278" s="12" t="n"/>
      <c r="C278" s="12" t="n"/>
      <c r="D278" s="12" t="n"/>
      <c r="E278" s="13">
        <f>IF(A278="","",DATE(YEAR(A278),MONTH(A278),1))</f>
        <v/>
      </c>
      <c r="F278" s="5">
        <f>IF(AND(D278="Ja",B278&lt;&gt;""),COUNTIFS($B$5:B278,B278,$D$5:D278,"Ja"),"")</f>
        <v/>
      </c>
      <c r="G278" s="6">
        <f>IF(F278="","",IF(F278&lt;=Einstellungen!$B$5,Einstellungen!$B$3,Einstellungen!$B$4))</f>
        <v/>
      </c>
      <c r="H278" s="6">
        <f>IF(G278="",0,G278)</f>
        <v/>
      </c>
    </row>
    <row r="279">
      <c r="A279" s="11" t="n"/>
      <c r="B279" s="12" t="n"/>
      <c r="C279" s="12" t="n"/>
      <c r="D279" s="12" t="n"/>
      <c r="E279" s="13">
        <f>IF(A279="","",DATE(YEAR(A279),MONTH(A279),1))</f>
        <v/>
      </c>
      <c r="F279" s="5">
        <f>IF(AND(D279="Ja",B279&lt;&gt;""),COUNTIFS($B$5:B279,B279,$D$5:D279,"Ja"),"")</f>
        <v/>
      </c>
      <c r="G279" s="6">
        <f>IF(F279="","",IF(F279&lt;=Einstellungen!$B$5,Einstellungen!$B$3,Einstellungen!$B$4))</f>
        <v/>
      </c>
      <c r="H279" s="6">
        <f>IF(G279="",0,G279)</f>
        <v/>
      </c>
    </row>
    <row r="280">
      <c r="A280" s="11" t="n"/>
      <c r="B280" s="12" t="n"/>
      <c r="C280" s="12" t="n"/>
      <c r="D280" s="12" t="n"/>
      <c r="E280" s="13">
        <f>IF(A280="","",DATE(YEAR(A280),MONTH(A280),1))</f>
        <v/>
      </c>
      <c r="F280" s="5">
        <f>IF(AND(D280="Ja",B280&lt;&gt;""),COUNTIFS($B$5:B280,B280,$D$5:D280,"Ja"),"")</f>
        <v/>
      </c>
      <c r="G280" s="6">
        <f>IF(F280="","",IF(F280&lt;=Einstellungen!$B$5,Einstellungen!$B$3,Einstellungen!$B$4))</f>
        <v/>
      </c>
      <c r="H280" s="6">
        <f>IF(G280="",0,G280)</f>
        <v/>
      </c>
    </row>
    <row r="281">
      <c r="A281" s="11" t="n"/>
      <c r="B281" s="12" t="n"/>
      <c r="C281" s="12" t="n"/>
      <c r="D281" s="12" t="n"/>
      <c r="E281" s="13">
        <f>IF(A281="","",DATE(YEAR(A281),MONTH(A281),1))</f>
        <v/>
      </c>
      <c r="F281" s="5">
        <f>IF(AND(D281="Ja",B281&lt;&gt;""),COUNTIFS($B$5:B281,B281,$D$5:D281,"Ja"),"")</f>
        <v/>
      </c>
      <c r="G281" s="6">
        <f>IF(F281="","",IF(F281&lt;=Einstellungen!$B$5,Einstellungen!$B$3,Einstellungen!$B$4))</f>
        <v/>
      </c>
      <c r="H281" s="6">
        <f>IF(G281="",0,G281)</f>
        <v/>
      </c>
    </row>
    <row r="282">
      <c r="A282" s="11" t="n"/>
      <c r="B282" s="12" t="n"/>
      <c r="C282" s="12" t="n"/>
      <c r="D282" s="12" t="n"/>
      <c r="E282" s="13">
        <f>IF(A282="","",DATE(YEAR(A282),MONTH(A282),1))</f>
        <v/>
      </c>
      <c r="F282" s="5">
        <f>IF(AND(D282="Ja",B282&lt;&gt;""),COUNTIFS($B$5:B282,B282,$D$5:D282,"Ja"),"")</f>
        <v/>
      </c>
      <c r="G282" s="6">
        <f>IF(F282="","",IF(F282&lt;=Einstellungen!$B$5,Einstellungen!$B$3,Einstellungen!$B$4))</f>
        <v/>
      </c>
      <c r="H282" s="6">
        <f>IF(G282="",0,G282)</f>
        <v/>
      </c>
    </row>
    <row r="283">
      <c r="A283" s="11" t="n"/>
      <c r="B283" s="12" t="n"/>
      <c r="C283" s="12" t="n"/>
      <c r="D283" s="12" t="n"/>
      <c r="E283" s="13">
        <f>IF(A283="","",DATE(YEAR(A283),MONTH(A283),1))</f>
        <v/>
      </c>
      <c r="F283" s="5">
        <f>IF(AND(D283="Ja",B283&lt;&gt;""),COUNTIFS($B$5:B283,B283,$D$5:D283,"Ja"),"")</f>
        <v/>
      </c>
      <c r="G283" s="6">
        <f>IF(F283="","",IF(F283&lt;=Einstellungen!$B$5,Einstellungen!$B$3,Einstellungen!$B$4))</f>
        <v/>
      </c>
      <c r="H283" s="6">
        <f>IF(G283="",0,G283)</f>
        <v/>
      </c>
    </row>
    <row r="284">
      <c r="A284" s="11" t="n"/>
      <c r="B284" s="12" t="n"/>
      <c r="C284" s="12" t="n"/>
      <c r="D284" s="12" t="n"/>
      <c r="E284" s="13">
        <f>IF(A284="","",DATE(YEAR(A284),MONTH(A284),1))</f>
        <v/>
      </c>
      <c r="F284" s="5">
        <f>IF(AND(D284="Ja",B284&lt;&gt;""),COUNTIFS($B$5:B284,B284,$D$5:D284,"Ja"),"")</f>
        <v/>
      </c>
      <c r="G284" s="6">
        <f>IF(F284="","",IF(F284&lt;=Einstellungen!$B$5,Einstellungen!$B$3,Einstellungen!$B$4))</f>
        <v/>
      </c>
      <c r="H284" s="6">
        <f>IF(G284="",0,G284)</f>
        <v/>
      </c>
    </row>
    <row r="285">
      <c r="A285" s="11" t="n"/>
      <c r="B285" s="12" t="n"/>
      <c r="C285" s="12" t="n"/>
      <c r="D285" s="12" t="n"/>
      <c r="E285" s="13">
        <f>IF(A285="","",DATE(YEAR(A285),MONTH(A285),1))</f>
        <v/>
      </c>
      <c r="F285" s="5">
        <f>IF(AND(D285="Ja",B285&lt;&gt;""),COUNTIFS($B$5:B285,B285,$D$5:D285,"Ja"),"")</f>
        <v/>
      </c>
      <c r="G285" s="6">
        <f>IF(F285="","",IF(F285&lt;=Einstellungen!$B$5,Einstellungen!$B$3,Einstellungen!$B$4))</f>
        <v/>
      </c>
      <c r="H285" s="6">
        <f>IF(G285="",0,G285)</f>
        <v/>
      </c>
    </row>
    <row r="286">
      <c r="A286" s="11" t="n"/>
      <c r="B286" s="12" t="n"/>
      <c r="C286" s="12" t="n"/>
      <c r="D286" s="12" t="n"/>
      <c r="E286" s="13">
        <f>IF(A286="","",DATE(YEAR(A286),MONTH(A286),1))</f>
        <v/>
      </c>
      <c r="F286" s="5">
        <f>IF(AND(D286="Ja",B286&lt;&gt;""),COUNTIFS($B$5:B286,B286,$D$5:D286,"Ja"),"")</f>
        <v/>
      </c>
      <c r="G286" s="6">
        <f>IF(F286="","",IF(F286&lt;=Einstellungen!$B$5,Einstellungen!$B$3,Einstellungen!$B$4))</f>
        <v/>
      </c>
      <c r="H286" s="6">
        <f>IF(G286="",0,G286)</f>
        <v/>
      </c>
    </row>
    <row r="287">
      <c r="A287" s="11" t="n"/>
      <c r="B287" s="12" t="n"/>
      <c r="C287" s="12" t="n"/>
      <c r="D287" s="12" t="n"/>
      <c r="E287" s="13">
        <f>IF(A287="","",DATE(YEAR(A287),MONTH(A287),1))</f>
        <v/>
      </c>
      <c r="F287" s="5">
        <f>IF(AND(D287="Ja",B287&lt;&gt;""),COUNTIFS($B$5:B287,B287,$D$5:D287,"Ja"),"")</f>
        <v/>
      </c>
      <c r="G287" s="6">
        <f>IF(F287="","",IF(F287&lt;=Einstellungen!$B$5,Einstellungen!$B$3,Einstellungen!$B$4))</f>
        <v/>
      </c>
      <c r="H287" s="6">
        <f>IF(G287="",0,G287)</f>
        <v/>
      </c>
    </row>
    <row r="288">
      <c r="A288" s="11" t="n"/>
      <c r="B288" s="12" t="n"/>
      <c r="C288" s="12" t="n"/>
      <c r="D288" s="12" t="n"/>
      <c r="E288" s="13">
        <f>IF(A288="","",DATE(YEAR(A288),MONTH(A288),1))</f>
        <v/>
      </c>
      <c r="F288" s="5">
        <f>IF(AND(D288="Ja",B288&lt;&gt;""),COUNTIFS($B$5:B288,B288,$D$5:D288,"Ja"),"")</f>
        <v/>
      </c>
      <c r="G288" s="6">
        <f>IF(F288="","",IF(F288&lt;=Einstellungen!$B$5,Einstellungen!$B$3,Einstellungen!$B$4))</f>
        <v/>
      </c>
      <c r="H288" s="6">
        <f>IF(G288="",0,G288)</f>
        <v/>
      </c>
    </row>
    <row r="289">
      <c r="A289" s="11" t="n"/>
      <c r="B289" s="12" t="n"/>
      <c r="C289" s="12" t="n"/>
      <c r="D289" s="12" t="n"/>
      <c r="E289" s="13">
        <f>IF(A289="","",DATE(YEAR(A289),MONTH(A289),1))</f>
        <v/>
      </c>
      <c r="F289" s="5">
        <f>IF(AND(D289="Ja",B289&lt;&gt;""),COUNTIFS($B$5:B289,B289,$D$5:D289,"Ja"),"")</f>
        <v/>
      </c>
      <c r="G289" s="6">
        <f>IF(F289="","",IF(F289&lt;=Einstellungen!$B$5,Einstellungen!$B$3,Einstellungen!$B$4))</f>
        <v/>
      </c>
      <c r="H289" s="6">
        <f>IF(G289="",0,G289)</f>
        <v/>
      </c>
    </row>
    <row r="290">
      <c r="A290" s="11" t="n"/>
      <c r="B290" s="12" t="n"/>
      <c r="C290" s="12" t="n"/>
      <c r="D290" s="12" t="n"/>
      <c r="E290" s="13">
        <f>IF(A290="","",DATE(YEAR(A290),MONTH(A290),1))</f>
        <v/>
      </c>
      <c r="F290" s="5">
        <f>IF(AND(D290="Ja",B290&lt;&gt;""),COUNTIFS($B$5:B290,B290,$D$5:D290,"Ja"),"")</f>
        <v/>
      </c>
      <c r="G290" s="6">
        <f>IF(F290="","",IF(F290&lt;=Einstellungen!$B$5,Einstellungen!$B$3,Einstellungen!$B$4))</f>
        <v/>
      </c>
      <c r="H290" s="6">
        <f>IF(G290="",0,G290)</f>
        <v/>
      </c>
    </row>
    <row r="291">
      <c r="A291" s="11" t="n"/>
      <c r="B291" s="12" t="n"/>
      <c r="C291" s="12" t="n"/>
      <c r="D291" s="12" t="n"/>
      <c r="E291" s="13">
        <f>IF(A291="","",DATE(YEAR(A291),MONTH(A291),1))</f>
        <v/>
      </c>
      <c r="F291" s="5">
        <f>IF(AND(D291="Ja",B291&lt;&gt;""),COUNTIFS($B$5:B291,B291,$D$5:D291,"Ja"),"")</f>
        <v/>
      </c>
      <c r="G291" s="6">
        <f>IF(F291="","",IF(F291&lt;=Einstellungen!$B$5,Einstellungen!$B$3,Einstellungen!$B$4))</f>
        <v/>
      </c>
      <c r="H291" s="6">
        <f>IF(G291="",0,G291)</f>
        <v/>
      </c>
    </row>
    <row r="292">
      <c r="A292" s="11" t="n"/>
      <c r="B292" s="12" t="n"/>
      <c r="C292" s="12" t="n"/>
      <c r="D292" s="12" t="n"/>
      <c r="E292" s="13">
        <f>IF(A292="","",DATE(YEAR(A292),MONTH(A292),1))</f>
        <v/>
      </c>
      <c r="F292" s="5">
        <f>IF(AND(D292="Ja",B292&lt;&gt;""),COUNTIFS($B$5:B292,B292,$D$5:D292,"Ja"),"")</f>
        <v/>
      </c>
      <c r="G292" s="6">
        <f>IF(F292="","",IF(F292&lt;=Einstellungen!$B$5,Einstellungen!$B$3,Einstellungen!$B$4))</f>
        <v/>
      </c>
      <c r="H292" s="6">
        <f>IF(G292="",0,G292)</f>
        <v/>
      </c>
    </row>
    <row r="293">
      <c r="A293" s="11" t="n"/>
      <c r="B293" s="12" t="n"/>
      <c r="C293" s="12" t="n"/>
      <c r="D293" s="12" t="n"/>
      <c r="E293" s="13">
        <f>IF(A293="","",DATE(YEAR(A293),MONTH(A293),1))</f>
        <v/>
      </c>
      <c r="F293" s="5">
        <f>IF(AND(D293="Ja",B293&lt;&gt;""),COUNTIFS($B$5:B293,B293,$D$5:D293,"Ja"),"")</f>
        <v/>
      </c>
      <c r="G293" s="6">
        <f>IF(F293="","",IF(F293&lt;=Einstellungen!$B$5,Einstellungen!$B$3,Einstellungen!$B$4))</f>
        <v/>
      </c>
      <c r="H293" s="6">
        <f>IF(G293="",0,G293)</f>
        <v/>
      </c>
    </row>
    <row r="294">
      <c r="A294" s="11" t="n"/>
      <c r="B294" s="12" t="n"/>
      <c r="C294" s="12" t="n"/>
      <c r="D294" s="12" t="n"/>
      <c r="E294" s="13">
        <f>IF(A294="","",DATE(YEAR(A294),MONTH(A294),1))</f>
        <v/>
      </c>
      <c r="F294" s="5">
        <f>IF(AND(D294="Ja",B294&lt;&gt;""),COUNTIFS($B$5:B294,B294,$D$5:D294,"Ja"),"")</f>
        <v/>
      </c>
      <c r="G294" s="6">
        <f>IF(F294="","",IF(F294&lt;=Einstellungen!$B$5,Einstellungen!$B$3,Einstellungen!$B$4))</f>
        <v/>
      </c>
      <c r="H294" s="6">
        <f>IF(G294="",0,G294)</f>
        <v/>
      </c>
    </row>
    <row r="295">
      <c r="A295" s="11" t="n"/>
      <c r="B295" s="12" t="n"/>
      <c r="C295" s="12" t="n"/>
      <c r="D295" s="12" t="n"/>
      <c r="E295" s="13">
        <f>IF(A295="","",DATE(YEAR(A295),MONTH(A295),1))</f>
        <v/>
      </c>
      <c r="F295" s="5">
        <f>IF(AND(D295="Ja",B295&lt;&gt;""),COUNTIFS($B$5:B295,B295,$D$5:D295,"Ja"),"")</f>
        <v/>
      </c>
      <c r="G295" s="6">
        <f>IF(F295="","",IF(F295&lt;=Einstellungen!$B$5,Einstellungen!$B$3,Einstellungen!$B$4))</f>
        <v/>
      </c>
      <c r="H295" s="6">
        <f>IF(G295="",0,G295)</f>
        <v/>
      </c>
    </row>
    <row r="296">
      <c r="A296" s="11" t="n"/>
      <c r="B296" s="12" t="n"/>
      <c r="C296" s="12" t="n"/>
      <c r="D296" s="12" t="n"/>
      <c r="E296" s="13">
        <f>IF(A296="","",DATE(YEAR(A296),MONTH(A296),1))</f>
        <v/>
      </c>
      <c r="F296" s="5">
        <f>IF(AND(D296="Ja",B296&lt;&gt;""),COUNTIFS($B$5:B296,B296,$D$5:D296,"Ja"),"")</f>
        <v/>
      </c>
      <c r="G296" s="6">
        <f>IF(F296="","",IF(F296&lt;=Einstellungen!$B$5,Einstellungen!$B$3,Einstellungen!$B$4))</f>
        <v/>
      </c>
      <c r="H296" s="6">
        <f>IF(G296="",0,G296)</f>
        <v/>
      </c>
    </row>
    <row r="297">
      <c r="A297" s="11" t="n"/>
      <c r="B297" s="12" t="n"/>
      <c r="C297" s="12" t="n"/>
      <c r="D297" s="12" t="n"/>
      <c r="E297" s="13">
        <f>IF(A297="","",DATE(YEAR(A297),MONTH(A297),1))</f>
        <v/>
      </c>
      <c r="F297" s="5">
        <f>IF(AND(D297="Ja",B297&lt;&gt;""),COUNTIFS($B$5:B297,B297,$D$5:D297,"Ja"),"")</f>
        <v/>
      </c>
      <c r="G297" s="6">
        <f>IF(F297="","",IF(F297&lt;=Einstellungen!$B$5,Einstellungen!$B$3,Einstellungen!$B$4))</f>
        <v/>
      </c>
      <c r="H297" s="6">
        <f>IF(G297="",0,G297)</f>
        <v/>
      </c>
    </row>
    <row r="298">
      <c r="A298" s="11" t="n"/>
      <c r="B298" s="12" t="n"/>
      <c r="C298" s="12" t="n"/>
      <c r="D298" s="12" t="n"/>
      <c r="E298" s="13">
        <f>IF(A298="","",DATE(YEAR(A298),MONTH(A298),1))</f>
        <v/>
      </c>
      <c r="F298" s="5">
        <f>IF(AND(D298="Ja",B298&lt;&gt;""),COUNTIFS($B$5:B298,B298,$D$5:D298,"Ja"),"")</f>
        <v/>
      </c>
      <c r="G298" s="6">
        <f>IF(F298="","",IF(F298&lt;=Einstellungen!$B$5,Einstellungen!$B$3,Einstellungen!$B$4))</f>
        <v/>
      </c>
      <c r="H298" s="6">
        <f>IF(G298="",0,G298)</f>
        <v/>
      </c>
    </row>
    <row r="299">
      <c r="A299" s="11" t="n"/>
      <c r="B299" s="12" t="n"/>
      <c r="C299" s="12" t="n"/>
      <c r="D299" s="12" t="n"/>
      <c r="E299" s="13">
        <f>IF(A299="","",DATE(YEAR(A299),MONTH(A299),1))</f>
        <v/>
      </c>
      <c r="F299" s="5">
        <f>IF(AND(D299="Ja",B299&lt;&gt;""),COUNTIFS($B$5:B299,B299,$D$5:D299,"Ja"),"")</f>
        <v/>
      </c>
      <c r="G299" s="6">
        <f>IF(F299="","",IF(F299&lt;=Einstellungen!$B$5,Einstellungen!$B$3,Einstellungen!$B$4))</f>
        <v/>
      </c>
      <c r="H299" s="6">
        <f>IF(G299="",0,G299)</f>
        <v/>
      </c>
    </row>
    <row r="300">
      <c r="A300" s="11" t="n"/>
      <c r="B300" s="12" t="n"/>
      <c r="C300" s="12" t="n"/>
      <c r="D300" s="12" t="n"/>
      <c r="E300" s="13">
        <f>IF(A300="","",DATE(YEAR(A300),MONTH(A300),1))</f>
        <v/>
      </c>
      <c r="F300" s="5">
        <f>IF(AND(D300="Ja",B300&lt;&gt;""),COUNTIFS($B$5:B300,B300,$D$5:D300,"Ja"),"")</f>
        <v/>
      </c>
      <c r="G300" s="6">
        <f>IF(F300="","",IF(F300&lt;=Einstellungen!$B$5,Einstellungen!$B$3,Einstellungen!$B$4))</f>
        <v/>
      </c>
      <c r="H300" s="6">
        <f>IF(G300="",0,G300)</f>
        <v/>
      </c>
    </row>
    <row r="301">
      <c r="A301" s="11" t="n"/>
      <c r="B301" s="12" t="n"/>
      <c r="C301" s="12" t="n"/>
      <c r="D301" s="12" t="n"/>
      <c r="E301" s="13">
        <f>IF(A301="","",DATE(YEAR(A301),MONTH(A301),1))</f>
        <v/>
      </c>
      <c r="F301" s="5">
        <f>IF(AND(D301="Ja",B301&lt;&gt;""),COUNTIFS($B$5:B301,B301,$D$5:D301,"Ja"),"")</f>
        <v/>
      </c>
      <c r="G301" s="6">
        <f>IF(F301="","",IF(F301&lt;=Einstellungen!$B$5,Einstellungen!$B$3,Einstellungen!$B$4))</f>
        <v/>
      </c>
      <c r="H301" s="6">
        <f>IF(G301="",0,G301)</f>
        <v/>
      </c>
    </row>
    <row r="302">
      <c r="A302" s="11" t="n"/>
      <c r="B302" s="12" t="n"/>
      <c r="C302" s="12" t="n"/>
      <c r="D302" s="12" t="n"/>
      <c r="E302" s="13">
        <f>IF(A302="","",DATE(YEAR(A302),MONTH(A302),1))</f>
        <v/>
      </c>
      <c r="F302" s="5">
        <f>IF(AND(D302="Ja",B302&lt;&gt;""),COUNTIFS($B$5:B302,B302,$D$5:D302,"Ja"),"")</f>
        <v/>
      </c>
      <c r="G302" s="6">
        <f>IF(F302="","",IF(F302&lt;=Einstellungen!$B$5,Einstellungen!$B$3,Einstellungen!$B$4))</f>
        <v/>
      </c>
      <c r="H302" s="6">
        <f>IF(G302="",0,G302)</f>
        <v/>
      </c>
    </row>
    <row r="303">
      <c r="A303" s="11" t="n"/>
      <c r="B303" s="12" t="n"/>
      <c r="C303" s="12" t="n"/>
      <c r="D303" s="12" t="n"/>
      <c r="E303" s="13">
        <f>IF(A303="","",DATE(YEAR(A303),MONTH(A303),1))</f>
        <v/>
      </c>
      <c r="F303" s="5">
        <f>IF(AND(D303="Ja",B303&lt;&gt;""),COUNTIFS($B$5:B303,B303,$D$5:D303,"Ja"),"")</f>
        <v/>
      </c>
      <c r="G303" s="6">
        <f>IF(F303="","",IF(F303&lt;=Einstellungen!$B$5,Einstellungen!$B$3,Einstellungen!$B$4))</f>
        <v/>
      </c>
      <c r="H303" s="6">
        <f>IF(G303="",0,G303)</f>
        <v/>
      </c>
    </row>
    <row r="304">
      <c r="A304" s="11" t="n"/>
      <c r="B304" s="12" t="n"/>
      <c r="C304" s="12" t="n"/>
      <c r="D304" s="12" t="n"/>
      <c r="E304" s="13">
        <f>IF(A304="","",DATE(YEAR(A304),MONTH(A304),1))</f>
        <v/>
      </c>
      <c r="F304" s="5">
        <f>IF(AND(D304="Ja",B304&lt;&gt;""),COUNTIFS($B$5:B304,B304,$D$5:D304,"Ja"),"")</f>
        <v/>
      </c>
      <c r="G304" s="6">
        <f>IF(F304="","",IF(F304&lt;=Einstellungen!$B$5,Einstellungen!$B$3,Einstellungen!$B$4))</f>
        <v/>
      </c>
      <c r="H304" s="6">
        <f>IF(G304="",0,G304)</f>
        <v/>
      </c>
    </row>
  </sheetData>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showDropDown="0" showInputMessage="0" showErrorMessage="0" allowBlank="1" type="list">
      <formula1>"Ja,Nein"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14" customWidth="1" min="2" max="2"/>
  </cols>
  <sheetData>
    <row r="1">
      <c r="A1" s="1" t="inlineStr">
        <is>
          <t>Einstellungen</t>
        </is>
      </c>
    </row>
    <row r="3">
      <c r="A3" s="9" t="inlineStr">
        <is>
          <t>Provision Testphase (€ pro Termin)</t>
        </is>
      </c>
      <c r="B3" s="14" t="n">
        <v>250</v>
      </c>
    </row>
    <row r="4">
      <c r="A4" s="9" t="inlineStr">
        <is>
          <t>Provision nach Testphase (€ pro Termin)</t>
        </is>
      </c>
      <c r="B4" s="14" t="n">
        <v>350</v>
      </c>
    </row>
    <row r="5">
      <c r="A5" s="9" t="inlineStr">
        <is>
          <t>Termine in der Testphase (pro Kunde)</t>
        </is>
      </c>
      <c r="B5" s="15" t="n">
        <v>5</v>
      </c>
    </row>
    <row r="7">
      <c r="A7" s="2" t="inlineStr">
        <is>
          <t>Quelle: Angaben des Nutzers (250 € in Testphase mit 5 Terminen, danach 350 € pro stattgefundenem Termin). Blaue Zellen mit gelbem Hintergrund = eigene Eingaben.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2026-09-29T10:20:30Z</dcterms:created>
  <dcterms:modified xsi:type="dcterms:W3CDTF">2026-09-29T10:20:30Z</dcterms:modified>
</cp:coreProperties>
</file>